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n/Desktop/UoL CS/CM1010_Introduction_to_Programming_II/FinalProject/report/report/Q3/"/>
    </mc:Choice>
  </mc:AlternateContent>
  <xr:revisionPtr revIDLastSave="0" documentId="13_ncr:1_{29ED9334-CBD3-2442-A620-2FC1E6C6D050}" xr6:coauthVersionLast="47" xr6:coauthVersionMax="47" xr10:uidLastSave="{00000000-0000-0000-0000-000000000000}"/>
  <bookViews>
    <workbookView xWindow="0" yWindow="500" windowWidth="28800" windowHeight="17500" xr2:uid="{C1F7B293-8498-41A6-8F62-76E869E81F9E}"/>
  </bookViews>
  <sheets>
    <sheet name="Milestones" sheetId="1" r:id="rId1"/>
    <sheet name="OverallStructure" sheetId="2" state="hidden" r:id="rId2"/>
    <sheet name="ClassDIagram" sheetId="3" state="hidden" r:id="rId3"/>
  </sheets>
  <definedNames>
    <definedName name="Display_Week">#REF!</definedName>
    <definedName name="Project_Star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30" i="1"/>
  <c r="D15" i="1"/>
  <c r="D7" i="1"/>
  <c r="F30" i="1"/>
  <c r="E30" i="1"/>
  <c r="E21" i="1"/>
  <c r="F21" i="1"/>
  <c r="F15" i="1"/>
  <c r="E15" i="1"/>
  <c r="F7" i="1"/>
  <c r="E7" i="1"/>
  <c r="G23" i="1"/>
  <c r="G24" i="1"/>
  <c r="G2" i="1"/>
  <c r="G3" i="1"/>
  <c r="G4" i="1"/>
  <c r="H5" i="1"/>
  <c r="H22" i="1" s="1"/>
  <c r="G6" i="1"/>
  <c r="G8" i="1"/>
  <c r="G9" i="1"/>
  <c r="G10" i="1"/>
  <c r="G11" i="1"/>
  <c r="G12" i="1"/>
  <c r="G13" i="1"/>
  <c r="G14" i="1"/>
  <c r="G16" i="1"/>
  <c r="G17" i="1"/>
  <c r="G18" i="1"/>
  <c r="G19" i="1"/>
  <c r="G20" i="1"/>
  <c r="G22" i="1"/>
  <c r="G25" i="1"/>
  <c r="G26" i="1"/>
  <c r="G27" i="1"/>
  <c r="G32" i="1"/>
  <c r="G33" i="1"/>
  <c r="G28" i="1"/>
  <c r="G29" i="1"/>
  <c r="G31" i="1"/>
  <c r="G15" i="1" l="1"/>
  <c r="G21" i="1"/>
  <c r="G30" i="1"/>
  <c r="H30" i="1"/>
  <c r="H21" i="1"/>
  <c r="H23" i="1"/>
  <c r="H15" i="1"/>
  <c r="G7" i="1"/>
  <c r="H7" i="1"/>
  <c r="H24" i="1"/>
  <c r="H25" i="1"/>
  <c r="H33" i="1"/>
  <c r="H29" i="1"/>
  <c r="H27" i="1"/>
  <c r="H16" i="1"/>
  <c r="H17" i="1"/>
  <c r="H20" i="1"/>
  <c r="H9" i="1"/>
  <c r="H28" i="1"/>
  <c r="H26" i="1"/>
  <c r="H31" i="1"/>
  <c r="H32" i="1"/>
  <c r="H2" i="1"/>
  <c r="I5" i="1"/>
  <c r="H11" i="1"/>
  <c r="H8" i="1"/>
  <c r="H3" i="1"/>
  <c r="H6" i="1"/>
  <c r="H14" i="1"/>
  <c r="H18" i="1"/>
  <c r="H4" i="1"/>
  <c r="H12" i="1"/>
  <c r="H10" i="1"/>
  <c r="H19" i="1"/>
  <c r="H13" i="1"/>
  <c r="I7" i="1" l="1"/>
  <c r="I21" i="1"/>
  <c r="I30" i="1"/>
  <c r="I24" i="1"/>
  <c r="I15" i="1"/>
  <c r="I23" i="1"/>
  <c r="I2" i="1"/>
  <c r="J5" i="1"/>
  <c r="I11" i="1"/>
  <c r="I6" i="1"/>
  <c r="I14" i="1"/>
  <c r="I18" i="1"/>
  <c r="I3" i="1"/>
  <c r="I9" i="1"/>
  <c r="I17" i="1"/>
  <c r="I4" i="1"/>
  <c r="I12" i="1"/>
  <c r="I10" i="1"/>
  <c r="I13" i="1"/>
  <c r="I8" i="1"/>
  <c r="I26" i="1"/>
  <c r="I28" i="1"/>
  <c r="I25" i="1"/>
  <c r="I27" i="1"/>
  <c r="I16" i="1"/>
  <c r="I19" i="1"/>
  <c r="I20" i="1"/>
  <c r="I29" i="1"/>
  <c r="I32" i="1"/>
  <c r="I22" i="1"/>
  <c r="I33" i="1"/>
  <c r="I31" i="1"/>
  <c r="J30" i="1" l="1"/>
  <c r="J21" i="1"/>
  <c r="J24" i="1"/>
  <c r="J15" i="1"/>
  <c r="J23" i="1"/>
  <c r="J7" i="1"/>
  <c r="J3" i="1"/>
  <c r="J9" i="1"/>
  <c r="J14" i="1"/>
  <c r="J4" i="1"/>
  <c r="J2" i="1"/>
  <c r="J8" i="1"/>
  <c r="J12" i="1"/>
  <c r="J16" i="1"/>
  <c r="J11" i="1"/>
  <c r="J25" i="1"/>
  <c r="J6" i="1"/>
  <c r="K5" i="1"/>
  <c r="J20" i="1"/>
  <c r="J32" i="1"/>
  <c r="J13" i="1"/>
  <c r="J26" i="1"/>
  <c r="J28" i="1"/>
  <c r="J17" i="1"/>
  <c r="J31" i="1"/>
  <c r="J29" i="1"/>
  <c r="J10" i="1"/>
  <c r="J19" i="1"/>
  <c r="J33" i="1"/>
  <c r="J18" i="1"/>
  <c r="J27" i="1"/>
  <c r="J22" i="1"/>
  <c r="K30" i="1" l="1"/>
  <c r="K21" i="1"/>
  <c r="K24" i="1"/>
  <c r="K15" i="1"/>
  <c r="K23" i="1"/>
  <c r="K7" i="1"/>
  <c r="K12" i="1"/>
  <c r="K3" i="1"/>
  <c r="K9" i="1"/>
  <c r="K4" i="1"/>
  <c r="K2" i="1"/>
  <c r="K8" i="1"/>
  <c r="K16" i="1"/>
  <c r="K25" i="1"/>
  <c r="K6" i="1"/>
  <c r="K17" i="1"/>
  <c r="K18" i="1"/>
  <c r="K19" i="1"/>
  <c r="L5" i="1"/>
  <c r="K10" i="1"/>
  <c r="K29" i="1"/>
  <c r="K11" i="1"/>
  <c r="K32" i="1"/>
  <c r="K13" i="1"/>
  <c r="K14" i="1"/>
  <c r="K26" i="1"/>
  <c r="K20" i="1"/>
  <c r="K31" i="1"/>
  <c r="K27" i="1"/>
  <c r="K33" i="1"/>
  <c r="K22" i="1"/>
  <c r="K28" i="1"/>
  <c r="L21" i="1" l="1"/>
  <c r="L30" i="1"/>
  <c r="L24" i="1"/>
  <c r="L15" i="1"/>
  <c r="L23" i="1"/>
  <c r="L7" i="1"/>
  <c r="L6" i="1"/>
  <c r="L12" i="1"/>
  <c r="L2" i="1"/>
  <c r="L13" i="1"/>
  <c r="L4" i="1"/>
  <c r="L18" i="1"/>
  <c r="L9" i="1"/>
  <c r="L3" i="1"/>
  <c r="L14" i="1"/>
  <c r="L22" i="1"/>
  <c r="L10" i="1"/>
  <c r="L16" i="1"/>
  <c r="M5" i="1"/>
  <c r="L8" i="1"/>
  <c r="L29" i="1"/>
  <c r="L11" i="1"/>
  <c r="L32" i="1"/>
  <c r="L26" i="1"/>
  <c r="L17" i="1"/>
  <c r="L20" i="1"/>
  <c r="L28" i="1"/>
  <c r="L19" i="1"/>
  <c r="L31" i="1"/>
  <c r="L27" i="1"/>
  <c r="L25" i="1"/>
  <c r="L33" i="1"/>
  <c r="M21" i="1" l="1"/>
  <c r="M30" i="1"/>
  <c r="M24" i="1"/>
  <c r="M15" i="1"/>
  <c r="M23" i="1"/>
  <c r="M7" i="1"/>
  <c r="M4" i="1"/>
  <c r="M10" i="1"/>
  <c r="M6" i="1"/>
  <c r="M2" i="1"/>
  <c r="N5" i="1"/>
  <c r="M9" i="1"/>
  <c r="M17" i="1"/>
  <c r="M12" i="1"/>
  <c r="M13" i="1"/>
  <c r="M3" i="1"/>
  <c r="M11" i="1"/>
  <c r="M19" i="1"/>
  <c r="M26" i="1"/>
  <c r="M14" i="1"/>
  <c r="M22" i="1"/>
  <c r="M18" i="1"/>
  <c r="M33" i="1"/>
  <c r="M8" i="1"/>
  <c r="M29" i="1"/>
  <c r="M16" i="1"/>
  <c r="M27" i="1"/>
  <c r="M20" i="1"/>
  <c r="M31" i="1"/>
  <c r="M32" i="1"/>
  <c r="M25" i="1"/>
  <c r="M28" i="1"/>
  <c r="N30" i="1" l="1"/>
  <c r="N21" i="1"/>
  <c r="N24" i="1"/>
  <c r="N23" i="1"/>
  <c r="N15" i="1"/>
  <c r="N7" i="1"/>
  <c r="N13" i="1"/>
  <c r="N4" i="1"/>
  <c r="N10" i="1"/>
  <c r="N2" i="1"/>
  <c r="N3" i="1"/>
  <c r="O5" i="1"/>
  <c r="N9" i="1"/>
  <c r="N17" i="1"/>
  <c r="N8" i="1"/>
  <c r="N11" i="1"/>
  <c r="N20" i="1"/>
  <c r="N6" i="1"/>
  <c r="N19" i="1"/>
  <c r="N31" i="1"/>
  <c r="N18" i="1"/>
  <c r="N33" i="1"/>
  <c r="N12" i="1"/>
  <c r="N14" i="1"/>
  <c r="N16" i="1"/>
  <c r="N22" i="1"/>
  <c r="N27" i="1"/>
  <c r="N28" i="1"/>
  <c r="N26" i="1"/>
  <c r="N32" i="1"/>
  <c r="N25" i="1"/>
  <c r="N29" i="1"/>
  <c r="O30" i="1" l="1"/>
  <c r="O21" i="1"/>
  <c r="O24" i="1"/>
  <c r="O23" i="1"/>
  <c r="O15" i="1"/>
  <c r="O7" i="1"/>
  <c r="O8" i="1"/>
  <c r="O13" i="1"/>
  <c r="O3" i="1"/>
  <c r="P5" i="1"/>
  <c r="O2" i="1"/>
  <c r="O4" i="1"/>
  <c r="O9" i="1"/>
  <c r="O12" i="1"/>
  <c r="O20" i="1"/>
  <c r="O6" i="1"/>
  <c r="O17" i="1"/>
  <c r="O22" i="1"/>
  <c r="O27" i="1"/>
  <c r="O10" i="1"/>
  <c r="O19" i="1"/>
  <c r="O31" i="1"/>
  <c r="O18" i="1"/>
  <c r="O33" i="1"/>
  <c r="O11" i="1"/>
  <c r="O14" i="1"/>
  <c r="O26" i="1"/>
  <c r="O29" i="1"/>
  <c r="O16" i="1"/>
  <c r="O28" i="1"/>
  <c r="O32" i="1"/>
  <c r="O25" i="1"/>
  <c r="P21" i="1" l="1"/>
  <c r="P30" i="1"/>
  <c r="P24" i="1"/>
  <c r="P15" i="1"/>
  <c r="P23" i="1"/>
  <c r="P7" i="1"/>
  <c r="P2" i="1"/>
  <c r="Q5" i="1"/>
  <c r="P11" i="1"/>
  <c r="P8" i="1"/>
  <c r="P3" i="1"/>
  <c r="P10" i="1"/>
  <c r="P18" i="1"/>
  <c r="P16" i="1"/>
  <c r="P4" i="1"/>
  <c r="P19" i="1"/>
  <c r="P9" i="1"/>
  <c r="P12" i="1"/>
  <c r="P13" i="1"/>
  <c r="P14" i="1"/>
  <c r="P6" i="1"/>
  <c r="P20" i="1"/>
  <c r="P28" i="1"/>
  <c r="P17" i="1"/>
  <c r="P22" i="1"/>
  <c r="P27" i="1"/>
  <c r="P31" i="1"/>
  <c r="P25" i="1"/>
  <c r="P32" i="1"/>
  <c r="P29" i="1"/>
  <c r="P26" i="1"/>
  <c r="P33" i="1"/>
  <c r="Q21" i="1" l="1"/>
  <c r="Q30" i="1"/>
  <c r="Q24" i="1"/>
  <c r="Q15" i="1"/>
  <c r="Q23" i="1"/>
  <c r="Q7" i="1"/>
  <c r="Q2" i="1"/>
  <c r="R5" i="1"/>
  <c r="Q11" i="1"/>
  <c r="Q14" i="1"/>
  <c r="Q3" i="1"/>
  <c r="Q10" i="1"/>
  <c r="Q18" i="1"/>
  <c r="Q8" i="1"/>
  <c r="Q16" i="1"/>
  <c r="Q17" i="1"/>
  <c r="Q4" i="1"/>
  <c r="Q19" i="1"/>
  <c r="Q9" i="1"/>
  <c r="Q25" i="1"/>
  <c r="Q26" i="1"/>
  <c r="Q20" i="1"/>
  <c r="Q28" i="1"/>
  <c r="Q22" i="1"/>
  <c r="Q27" i="1"/>
  <c r="Q6" i="1"/>
  <c r="Q12" i="1"/>
  <c r="Q13" i="1"/>
  <c r="Q32" i="1"/>
  <c r="Q29" i="1"/>
  <c r="Q31" i="1"/>
  <c r="Q33" i="1"/>
  <c r="R30" i="1" l="1"/>
  <c r="R21" i="1"/>
  <c r="R24" i="1"/>
  <c r="R15" i="1"/>
  <c r="R23" i="1"/>
  <c r="R7" i="1"/>
  <c r="R3" i="1"/>
  <c r="R9" i="1"/>
  <c r="R14" i="1"/>
  <c r="R6" i="1"/>
  <c r="R16" i="1"/>
  <c r="R2" i="1"/>
  <c r="S5" i="1"/>
  <c r="R13" i="1"/>
  <c r="R8" i="1"/>
  <c r="R11" i="1"/>
  <c r="R18" i="1"/>
  <c r="R25" i="1"/>
  <c r="R17" i="1"/>
  <c r="R4" i="1"/>
  <c r="R20" i="1"/>
  <c r="R32" i="1"/>
  <c r="R26" i="1"/>
  <c r="R10" i="1"/>
  <c r="R19" i="1"/>
  <c r="R28" i="1"/>
  <c r="R12" i="1"/>
  <c r="R33" i="1"/>
  <c r="R22" i="1"/>
  <c r="R29" i="1"/>
  <c r="R31" i="1"/>
  <c r="R27" i="1"/>
  <c r="S30" i="1" l="1"/>
  <c r="S21" i="1"/>
  <c r="S24" i="1"/>
  <c r="S15" i="1"/>
  <c r="S23" i="1"/>
  <c r="S7" i="1"/>
  <c r="S12" i="1"/>
  <c r="S3" i="1"/>
  <c r="S9" i="1"/>
  <c r="S11" i="1"/>
  <c r="S6" i="1"/>
  <c r="S14" i="1"/>
  <c r="S16" i="1"/>
  <c r="S2" i="1"/>
  <c r="S10" i="1"/>
  <c r="S17" i="1"/>
  <c r="T5" i="1"/>
  <c r="S13" i="1"/>
  <c r="S8" i="1"/>
  <c r="S18" i="1"/>
  <c r="S25" i="1"/>
  <c r="S4" i="1"/>
  <c r="S29" i="1"/>
  <c r="S32" i="1"/>
  <c r="S20" i="1"/>
  <c r="S26" i="1"/>
  <c r="S19" i="1"/>
  <c r="S33" i="1"/>
  <c r="S27" i="1"/>
  <c r="S28" i="1"/>
  <c r="S31" i="1"/>
  <c r="S22" i="1"/>
  <c r="T30" i="1" l="1"/>
  <c r="T21" i="1"/>
  <c r="T24" i="1"/>
  <c r="T15" i="1"/>
  <c r="T23" i="1"/>
  <c r="T7" i="1"/>
  <c r="T6" i="1"/>
  <c r="T12" i="1"/>
  <c r="T4" i="1"/>
  <c r="T8" i="1"/>
  <c r="T11" i="1"/>
  <c r="T14" i="1"/>
  <c r="T2" i="1"/>
  <c r="T10" i="1"/>
  <c r="T22" i="1"/>
  <c r="T16" i="1"/>
  <c r="T3" i="1"/>
  <c r="T9" i="1"/>
  <c r="T19" i="1"/>
  <c r="T25" i="1"/>
  <c r="T29" i="1"/>
  <c r="T17" i="1"/>
  <c r="T32" i="1"/>
  <c r="T18" i="1"/>
  <c r="T13" i="1"/>
  <c r="T28" i="1"/>
  <c r="U5" i="1"/>
  <c r="T20" i="1"/>
  <c r="T33" i="1"/>
  <c r="T26" i="1"/>
  <c r="T27" i="1"/>
  <c r="T31" i="1"/>
  <c r="U30" i="1" l="1"/>
  <c r="U21" i="1"/>
  <c r="U24" i="1"/>
  <c r="U15" i="1"/>
  <c r="U23" i="1"/>
  <c r="U7" i="1"/>
  <c r="U4" i="1"/>
  <c r="U10" i="1"/>
  <c r="U6" i="1"/>
  <c r="U17" i="1"/>
  <c r="U8" i="1"/>
  <c r="U2" i="1"/>
  <c r="U19" i="1"/>
  <c r="V5" i="1"/>
  <c r="U26" i="1"/>
  <c r="U11" i="1"/>
  <c r="U22" i="1"/>
  <c r="U3" i="1"/>
  <c r="U9" i="1"/>
  <c r="U12" i="1"/>
  <c r="U14" i="1"/>
  <c r="U16" i="1"/>
  <c r="U33" i="1"/>
  <c r="U25" i="1"/>
  <c r="U29" i="1"/>
  <c r="U18" i="1"/>
  <c r="U13" i="1"/>
  <c r="U31" i="1"/>
  <c r="U28" i="1"/>
  <c r="U20" i="1"/>
  <c r="U27" i="1"/>
  <c r="U32" i="1"/>
  <c r="V30" i="1" l="1"/>
  <c r="V21" i="1"/>
  <c r="V24" i="1"/>
  <c r="V23" i="1"/>
  <c r="V15" i="1"/>
  <c r="V7" i="1"/>
  <c r="V13" i="1"/>
  <c r="V4" i="1"/>
  <c r="V10" i="1"/>
  <c r="V2" i="1"/>
  <c r="V12" i="1"/>
  <c r="V17" i="1"/>
  <c r="V3" i="1"/>
  <c r="V6" i="1"/>
  <c r="V18" i="1"/>
  <c r="V20" i="1"/>
  <c r="W5" i="1"/>
  <c r="V8" i="1"/>
  <c r="V31" i="1"/>
  <c r="V9" i="1"/>
  <c r="V14" i="1"/>
  <c r="V16" i="1"/>
  <c r="V33" i="1"/>
  <c r="V11" i="1"/>
  <c r="V19" i="1"/>
  <c r="V25" i="1"/>
  <c r="V22" i="1"/>
  <c r="V32" i="1"/>
  <c r="V28" i="1"/>
  <c r="V29" i="1"/>
  <c r="V26" i="1"/>
  <c r="V27" i="1"/>
  <c r="W30" i="1" l="1"/>
  <c r="W21" i="1"/>
  <c r="W24" i="1"/>
  <c r="W23" i="1"/>
  <c r="W15" i="1"/>
  <c r="W7" i="1"/>
  <c r="W8" i="1"/>
  <c r="W13" i="1"/>
  <c r="W2" i="1"/>
  <c r="X5" i="1"/>
  <c r="W4" i="1"/>
  <c r="W9" i="1"/>
  <c r="W12" i="1"/>
  <c r="W6" i="1"/>
  <c r="W20" i="1"/>
  <c r="W16" i="1"/>
  <c r="W18" i="1"/>
  <c r="W3" i="1"/>
  <c r="W27" i="1"/>
  <c r="W31" i="1"/>
  <c r="W14" i="1"/>
  <c r="W33" i="1"/>
  <c r="W10" i="1"/>
  <c r="W17" i="1"/>
  <c r="W11" i="1"/>
  <c r="W19" i="1"/>
  <c r="W29" i="1"/>
  <c r="W28" i="1"/>
  <c r="W25" i="1"/>
  <c r="W26" i="1"/>
  <c r="W32" i="1"/>
  <c r="W22" i="1"/>
  <c r="X30" i="1" l="1"/>
  <c r="X21" i="1"/>
  <c r="X24" i="1"/>
  <c r="X15" i="1"/>
  <c r="X23" i="1"/>
  <c r="X7" i="1"/>
  <c r="X2" i="1"/>
  <c r="Y5" i="1"/>
  <c r="X11" i="1"/>
  <c r="X8" i="1"/>
  <c r="X3" i="1"/>
  <c r="X13" i="1"/>
  <c r="X18" i="1"/>
  <c r="X4" i="1"/>
  <c r="X9" i="1"/>
  <c r="X12" i="1"/>
  <c r="X6" i="1"/>
  <c r="X10" i="1"/>
  <c r="X14" i="1"/>
  <c r="X17" i="1"/>
  <c r="X28" i="1"/>
  <c r="X27" i="1"/>
  <c r="X16" i="1"/>
  <c r="X31" i="1"/>
  <c r="X26" i="1"/>
  <c r="X29" i="1"/>
  <c r="X25" i="1"/>
  <c r="X33" i="1"/>
  <c r="X19" i="1"/>
  <c r="X22" i="1"/>
  <c r="X20" i="1"/>
  <c r="X32" i="1"/>
  <c r="Y21" i="1" l="1"/>
  <c r="Y30" i="1"/>
  <c r="Y24" i="1"/>
  <c r="Y15" i="1"/>
  <c r="Y23" i="1"/>
  <c r="Y7" i="1"/>
  <c r="Y2" i="1"/>
  <c r="Z5" i="1"/>
  <c r="Y11" i="1"/>
  <c r="Y13" i="1"/>
  <c r="Y18" i="1"/>
  <c r="Y3" i="1"/>
  <c r="Y9" i="1"/>
  <c r="Y12" i="1"/>
  <c r="Y19" i="1"/>
  <c r="Y6" i="1"/>
  <c r="Y10" i="1"/>
  <c r="Y14" i="1"/>
  <c r="Y8" i="1"/>
  <c r="Y4" i="1"/>
  <c r="Y22" i="1"/>
  <c r="Y28" i="1"/>
  <c r="Y27" i="1"/>
  <c r="Y16" i="1"/>
  <c r="Y17" i="1"/>
  <c r="Y26" i="1"/>
  <c r="Y31" i="1"/>
  <c r="Y32" i="1"/>
  <c r="Y25" i="1"/>
  <c r="Y33" i="1"/>
  <c r="Y29" i="1"/>
  <c r="Y20" i="1"/>
  <c r="Z30" i="1" l="1"/>
  <c r="Z21" i="1"/>
  <c r="Z24" i="1"/>
  <c r="Z15" i="1"/>
  <c r="Z23" i="1"/>
  <c r="Z7" i="1"/>
  <c r="Z3" i="1"/>
  <c r="Z9" i="1"/>
  <c r="Z14" i="1"/>
  <c r="Z2" i="1"/>
  <c r="AA5" i="1"/>
  <c r="Z10" i="1"/>
  <c r="Z16" i="1"/>
  <c r="Z4" i="1"/>
  <c r="Z13" i="1"/>
  <c r="Z25" i="1"/>
  <c r="Z19" i="1"/>
  <c r="Z6" i="1"/>
  <c r="Z8" i="1"/>
  <c r="Z11" i="1"/>
  <c r="Z20" i="1"/>
  <c r="Z26" i="1"/>
  <c r="Z32" i="1"/>
  <c r="Z22" i="1"/>
  <c r="Z28" i="1"/>
  <c r="Z12" i="1"/>
  <c r="Z17" i="1"/>
  <c r="Z18" i="1"/>
  <c r="Z29" i="1"/>
  <c r="Z33" i="1"/>
  <c r="Z27" i="1"/>
  <c r="Z31" i="1"/>
  <c r="AA30" i="1" l="1"/>
  <c r="AA21" i="1"/>
  <c r="AA24" i="1"/>
  <c r="AA15" i="1"/>
  <c r="AA23" i="1"/>
  <c r="AA7" i="1"/>
  <c r="AA12" i="1"/>
  <c r="AA3" i="1"/>
  <c r="AA9" i="1"/>
  <c r="AA14" i="1"/>
  <c r="AA2" i="1"/>
  <c r="AA10" i="1"/>
  <c r="AA16" i="1"/>
  <c r="AA11" i="1"/>
  <c r="AA4" i="1"/>
  <c r="AA13" i="1"/>
  <c r="AA25" i="1"/>
  <c r="AA6" i="1"/>
  <c r="AA8" i="1"/>
  <c r="AA29" i="1"/>
  <c r="AA26" i="1"/>
  <c r="AA32" i="1"/>
  <c r="AA22" i="1"/>
  <c r="AA17" i="1"/>
  <c r="AA18" i="1"/>
  <c r="AA20" i="1"/>
  <c r="AA27" i="1"/>
  <c r="AA31" i="1"/>
  <c r="AA19" i="1"/>
  <c r="AA33" i="1"/>
  <c r="AA28" i="1"/>
</calcChain>
</file>

<file path=xl/sharedStrings.xml><?xml version="1.0" encoding="utf-8"?>
<sst xmlns="http://schemas.openxmlformats.org/spreadsheetml/2006/main" count="49" uniqueCount="49">
  <si>
    <t>Year</t>
  </si>
  <si>
    <t>Start</t>
  </si>
  <si>
    <t>End</t>
  </si>
  <si>
    <t>This Week</t>
  </si>
  <si>
    <t>Project Item</t>
  </si>
  <si>
    <t>Rubic #</t>
  </si>
  <si>
    <t>Day</t>
  </si>
  <si>
    <t>Month</t>
  </si>
  <si>
    <t>Study the three Projects</t>
  </si>
  <si>
    <t>Part 1 - Background Study</t>
  </si>
  <si>
    <t>Anslysis of possible extensions</t>
  </si>
  <si>
    <r>
      <rPr>
        <b/>
        <u/>
        <sz val="24"/>
        <color theme="1"/>
        <rFont val="Arial"/>
        <family val="2"/>
      </rPr>
      <t>Gantt Chart</t>
    </r>
    <r>
      <rPr>
        <sz val="16"/>
        <color theme="1"/>
        <rFont val="Arial"/>
        <family val="2"/>
      </rPr>
      <t xml:space="preserve">
Project Requirement to Project Milestone to Code</t>
    </r>
  </si>
  <si>
    <t>Set up possible extensions of selected project</t>
  </si>
  <si>
    <t>Part 2 - App System Design</t>
  </si>
  <si>
    <t>Week</t>
  </si>
  <si>
    <t>Study for applicable functionalities</t>
  </si>
  <si>
    <t>System Design and Analysis</t>
  </si>
  <si>
    <t>Summarse the should-have items of each objects structures</t>
  </si>
  <si>
    <t>Music Player</t>
  </si>
  <si>
    <t>Music Visualiser</t>
  </si>
  <si>
    <t>Project Upgrade</t>
  </si>
  <si>
    <t>Upgrade the music player outlook</t>
  </si>
  <si>
    <t>Upgrade the visuals</t>
  </si>
  <si>
    <t>Task Name</t>
  </si>
  <si>
    <t>Test the Project</t>
  </si>
  <si>
    <t>System Integration</t>
  </si>
  <si>
    <t>Integrate the Objects and their designes</t>
  </si>
  <si>
    <t>Reflect and update on the system infrastructure</t>
  </si>
  <si>
    <t>Part 4 - System Cutover</t>
  </si>
  <si>
    <t>Unit test the classes</t>
  </si>
  <si>
    <t>Unit test the functional objects and interactions between tasks</t>
  </si>
  <si>
    <t>Reflect on the test results and debug</t>
  </si>
  <si>
    <t>Complete Percentage</t>
  </si>
  <si>
    <t>Part 3 -  Spiral Development Mode</t>
  </si>
  <si>
    <t>Identify the projects to be extended
Progress : done</t>
  </si>
  <si>
    <t>Identify the purpose and logic flow of the three projects
Progress : done</t>
  </si>
  <si>
    <t>For drawing app
Progress : done</t>
  </si>
  <si>
    <t>For music visualisation app
Progress : done, for the six visuals</t>
  </si>
  <si>
    <t>For data visualisation app
Progress : done, for the mp3 player outlook</t>
  </si>
  <si>
    <t>Study for possible visualisations
Progress : done, decided to make six visuals</t>
  </si>
  <si>
    <t>Plan for structuring and coding of visualisations
Progress : the fifth and sixth visuals are not yet designed</t>
  </si>
  <si>
    <t>Study for music player designs
Progress : done</t>
  </si>
  <si>
    <t>Study for implementation of the music visuals to fit into the project
Progress : the fifth and sixth visuals are not yet studied</t>
  </si>
  <si>
    <t>Identify the system objects and set up object classes (with Class Diagram)
Progress : done for the music player and the first four visuals (need update after Midterm submission)</t>
  </si>
  <si>
    <t>Set up object Class Diagram with its structure
Progress : need to add visual 5 and 6 class diagram</t>
  </si>
  <si>
    <t>Code the project layout
Progress : done for the first four, need upgrade and add visual 5 and 6</t>
  </si>
  <si>
    <t>Code the music player layout and add buttons
Progress : done except volume bar</t>
  </si>
  <si>
    <t>Extend the visualiser objects from base cases
Progress : done for the first four visuals</t>
  </si>
  <si>
    <t>Code the visuals
Progress : done for the first four visuals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</si>
</sst>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"/>
    <numFmt numFmtId="165" formatCode="dd\ mmm\ yyyy"/>
  </numFmts>
  <fonts count="9"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12"/>
      <color rgb="FF02ABE5"/>
      <name val="Arial"/>
      <family val="2"/>
    </font>
    <font>
      <sz val="10"/>
      <name val="ＭＳ Ｐゴシック"/>
      <family val="3"/>
      <charset val="128"/>
    </font>
    <font>
      <sz val="9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u/>
      <sz val="2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dotted">
        <color rgb="FF20378A"/>
      </left>
      <right/>
      <top style="dotted">
        <color rgb="FF20378A"/>
      </top>
      <bottom/>
      <diagonal/>
    </border>
    <border>
      <left/>
      <right/>
      <top style="dotted">
        <color rgb="FF20378A"/>
      </top>
      <bottom/>
      <diagonal/>
    </border>
    <border>
      <left/>
      <right style="dotted">
        <color rgb="FF20378A"/>
      </right>
      <top style="dotted">
        <color rgb="FF20378A"/>
      </top>
      <bottom/>
      <diagonal/>
    </border>
    <border>
      <left style="dotted">
        <color rgb="FF20378A"/>
      </left>
      <right/>
      <top style="dotted">
        <color rgb="FF20378A"/>
      </top>
      <bottom style="dotted">
        <color rgb="FF20378A"/>
      </bottom>
      <diagonal/>
    </border>
    <border>
      <left style="dotted">
        <color rgb="FF20378A"/>
      </left>
      <right style="dotted">
        <color rgb="FF20378A"/>
      </right>
      <top style="dotted">
        <color rgb="FF20378A"/>
      </top>
      <bottom style="dotted">
        <color rgb="FF20378A"/>
      </bottom>
      <diagonal/>
    </border>
    <border>
      <left style="dotted">
        <color rgb="FF20378A"/>
      </left>
      <right/>
      <top/>
      <bottom style="dotted">
        <color rgb="FF20378A"/>
      </bottom>
      <diagonal/>
    </border>
    <border>
      <left/>
      <right/>
      <top/>
      <bottom style="dotted">
        <color rgb="FF20378A"/>
      </bottom>
      <diagonal/>
    </border>
    <border>
      <left/>
      <right style="dotted">
        <color rgb="FF20378A"/>
      </right>
      <top/>
      <bottom style="dotted">
        <color rgb="FF20378A"/>
      </bottom>
      <diagonal/>
    </border>
    <border>
      <left/>
      <right/>
      <top style="dotted">
        <color rgb="FF20378A"/>
      </top>
      <bottom style="dotted">
        <color rgb="FF20378A"/>
      </bottom>
      <diagonal/>
    </border>
    <border>
      <left style="dotted">
        <color rgb="FF20378A"/>
      </left>
      <right/>
      <top/>
      <bottom/>
      <diagonal/>
    </border>
    <border>
      <left/>
      <right style="dotted">
        <color rgb="FF20378A"/>
      </right>
      <top/>
      <bottom/>
      <diagonal/>
    </border>
    <border>
      <left style="dotted">
        <color rgb="FF20378A"/>
      </left>
      <right style="dotted">
        <color rgb="FF20378A"/>
      </right>
      <top style="dotted">
        <color rgb="FF20378A"/>
      </top>
      <bottom/>
      <diagonal/>
    </border>
    <border>
      <left style="dotted">
        <color auto="1"/>
      </left>
      <right/>
      <top/>
      <bottom/>
      <diagonal/>
    </border>
    <border>
      <left style="thick">
        <color rgb="FFFFE4E1"/>
      </left>
      <right style="medium">
        <color rgb="FFFFE4E1"/>
      </right>
      <top style="mediumDashed">
        <color rgb="FFFFE4E1"/>
      </top>
      <bottom style="mediumDashed">
        <color rgb="FFFFE4E1"/>
      </bottom>
      <diagonal/>
    </border>
    <border>
      <left style="medium">
        <color rgb="FFFFE4E1"/>
      </left>
      <right style="medium">
        <color rgb="FFFFE4E1"/>
      </right>
      <top style="mediumDashed">
        <color rgb="FFFFE4E1"/>
      </top>
      <bottom style="mediumDashed">
        <color rgb="FFFFE4E1"/>
      </bottom>
      <diagonal/>
    </border>
    <border>
      <left style="dotted">
        <color rgb="FF20378A"/>
      </left>
      <right style="thick">
        <color rgb="FFFFE4E1"/>
      </right>
      <top style="dotted">
        <color rgb="FF20378A"/>
      </top>
      <bottom style="dotted">
        <color rgb="FF20378A"/>
      </bottom>
      <diagonal/>
    </border>
    <border>
      <left style="dotted">
        <color rgb="FF20378A"/>
      </left>
      <right style="dotted">
        <color rgb="FF20378A"/>
      </right>
      <top/>
      <bottom style="dotted">
        <color rgb="FF20378A"/>
      </bottom>
      <diagonal/>
    </border>
    <border>
      <left style="dotted">
        <color rgb="FF20378A"/>
      </left>
      <right style="dotted">
        <color rgb="FF20378A"/>
      </right>
      <top/>
      <bottom/>
      <diagonal/>
    </border>
    <border>
      <left/>
      <right/>
      <top style="mediumDashed">
        <color rgb="FFFFE4E1"/>
      </top>
      <bottom style="mediumDashed">
        <color rgb="FFFFE4E1"/>
      </bottom>
      <diagonal/>
    </border>
    <border>
      <left style="thick">
        <color rgb="FFFFE4E1"/>
      </left>
      <right/>
      <top style="mediumDashed">
        <color rgb="FFFFE4E1"/>
      </top>
      <bottom style="mediumDashed">
        <color rgb="FFFFE4E1"/>
      </bottom>
      <diagonal/>
    </border>
    <border>
      <left style="dotted">
        <color rgb="FF20378A"/>
      </left>
      <right style="thick">
        <color rgb="FFFFE4E1"/>
      </right>
      <top/>
      <bottom style="dotted">
        <color rgb="FF20378A"/>
      </bottom>
      <diagonal/>
    </border>
    <border>
      <left style="dotted">
        <color auto="1"/>
      </left>
      <right/>
      <top style="dotted">
        <color rgb="FF20378A"/>
      </top>
      <bottom style="dotted">
        <color auto="1"/>
      </bottom>
      <diagonal/>
    </border>
    <border>
      <left/>
      <right/>
      <top style="dotted">
        <color rgb="FF20378A"/>
      </top>
      <bottom style="dotted">
        <color auto="1"/>
      </bottom>
      <diagonal/>
    </border>
    <border>
      <left/>
      <right style="thick">
        <color rgb="FFFFE4E1"/>
      </right>
      <top style="dotted">
        <color rgb="FF20378A"/>
      </top>
      <bottom style="dotted">
        <color auto="1"/>
      </bottom>
      <diagonal/>
    </border>
    <border>
      <left style="thick">
        <color rgb="FFFFE4E1"/>
      </left>
      <right style="medium">
        <color rgb="FFFFE4E1"/>
      </right>
      <top style="mediumDashed">
        <color rgb="FFFFE4E1"/>
      </top>
      <bottom style="medium">
        <color rgb="FFFFE4E1"/>
      </bottom>
      <diagonal/>
    </border>
    <border>
      <left/>
      <right style="medium">
        <color rgb="FFFFE4E1"/>
      </right>
      <top style="mediumDashed">
        <color rgb="FFFFE4E1"/>
      </top>
      <bottom style="mediumDashed">
        <color rgb="FFFFE4E1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4" fillId="0" borderId="0"/>
  </cellStyleXfs>
  <cellXfs count="65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1" fillId="2" borderId="6" xfId="1" applyFont="1" applyFill="1" applyBorder="1" applyAlignment="1">
      <alignment horizontal="center" vertical="center"/>
    </xf>
    <xf numFmtId="0" fontId="1" fillId="2" borderId="7" xfId="1" applyFont="1" applyFill="1" applyBorder="1" applyAlignment="1">
      <alignment horizontal="center" vertical="center"/>
    </xf>
    <xf numFmtId="0" fontId="1" fillId="2" borderId="8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1" fillId="2" borderId="0" xfId="1" applyFont="1" applyFill="1">
      <alignment vertical="center"/>
    </xf>
    <xf numFmtId="0" fontId="1" fillId="2" borderId="0" xfId="1" applyFont="1" applyFill="1" applyAlignment="1">
      <alignment horizontal="right" vertical="center"/>
    </xf>
    <xf numFmtId="0" fontId="1" fillId="2" borderId="5" xfId="1" applyFont="1" applyFill="1" applyBorder="1">
      <alignment vertical="center"/>
    </xf>
    <xf numFmtId="165" fontId="1" fillId="2" borderId="5" xfId="1" applyNumberFormat="1" applyFont="1" applyFill="1" applyBorder="1">
      <alignment vertical="center"/>
    </xf>
    <xf numFmtId="0" fontId="1" fillId="2" borderId="10" xfId="1" applyFont="1" applyFill="1" applyBorder="1" applyAlignment="1">
      <alignment horizontal="center" vertical="center"/>
    </xf>
    <xf numFmtId="0" fontId="1" fillId="2" borderId="11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 wrapText="1"/>
    </xf>
    <xf numFmtId="0" fontId="1" fillId="2" borderId="12" xfId="1" applyFont="1" applyFill="1" applyBorder="1">
      <alignment vertical="center"/>
    </xf>
    <xf numFmtId="0" fontId="1" fillId="2" borderId="13" xfId="1" applyFont="1" applyFill="1" applyBorder="1" applyAlignment="1">
      <alignment horizontal="center" vertical="center"/>
    </xf>
    <xf numFmtId="0" fontId="6" fillId="2" borderId="0" xfId="1" applyFont="1" applyFill="1">
      <alignment vertical="center"/>
    </xf>
    <xf numFmtId="0" fontId="1" fillId="2" borderId="9" xfId="1" applyFont="1" applyFill="1" applyBorder="1" applyAlignment="1">
      <alignment horizontal="center" vertical="center" wrapText="1"/>
    </xf>
    <xf numFmtId="0" fontId="1" fillId="2" borderId="14" xfId="1" applyFont="1" applyFill="1" applyBorder="1">
      <alignment vertical="center"/>
    </xf>
    <xf numFmtId="0" fontId="1" fillId="2" borderId="15" xfId="1" applyFont="1" applyFill="1" applyBorder="1">
      <alignment vertical="center"/>
    </xf>
    <xf numFmtId="0" fontId="1" fillId="2" borderId="14" xfId="1" applyFont="1" applyFill="1" applyBorder="1" applyAlignment="1">
      <alignment horizontal="center" vertical="center"/>
    </xf>
    <xf numFmtId="0" fontId="1" fillId="2" borderId="15" xfId="1" applyFont="1" applyFill="1" applyBorder="1" applyAlignment="1">
      <alignment horizontal="center" vertical="center"/>
    </xf>
    <xf numFmtId="164" fontId="1" fillId="2" borderId="14" xfId="1" applyNumberFormat="1" applyFont="1" applyFill="1" applyBorder="1" applyAlignment="1">
      <alignment horizontal="center" vertical="center" textRotation="255"/>
    </xf>
    <xf numFmtId="164" fontId="1" fillId="2" borderId="15" xfId="1" applyNumberFormat="1" applyFont="1" applyFill="1" applyBorder="1" applyAlignment="1">
      <alignment horizontal="center" vertical="center" textRotation="255"/>
    </xf>
    <xf numFmtId="165" fontId="1" fillId="2" borderId="16" xfId="1" applyNumberFormat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1" fillId="2" borderId="12" xfId="1" applyFont="1" applyFill="1" applyBorder="1" applyAlignment="1">
      <alignment horizontal="center" vertical="center"/>
    </xf>
    <xf numFmtId="0" fontId="1" fillId="2" borderId="17" xfId="1" applyFont="1" applyFill="1" applyBorder="1" applyAlignment="1">
      <alignment horizontal="center" vertical="center"/>
    </xf>
    <xf numFmtId="0" fontId="1" fillId="2" borderId="17" xfId="1" applyFont="1" applyFill="1" applyBorder="1">
      <alignment vertical="center"/>
    </xf>
    <xf numFmtId="0" fontId="1" fillId="2" borderId="18" xfId="1" applyFont="1" applyFill="1" applyBorder="1" applyAlignment="1">
      <alignment horizontal="center" vertical="center"/>
    </xf>
    <xf numFmtId="0" fontId="1" fillId="2" borderId="18" xfId="1" applyFont="1" applyFill="1" applyBorder="1">
      <alignment vertical="center"/>
    </xf>
    <xf numFmtId="0" fontId="1" fillId="2" borderId="12" xfId="1" applyFont="1" applyFill="1" applyBorder="1" applyAlignment="1">
      <alignment vertical="center" shrinkToFit="1"/>
    </xf>
    <xf numFmtId="0" fontId="0" fillId="0" borderId="0" xfId="0" quotePrefix="1"/>
    <xf numFmtId="0" fontId="0" fillId="2" borderId="12" xfId="1" applyFont="1" applyFill="1" applyBorder="1">
      <alignment vertical="center"/>
    </xf>
    <xf numFmtId="165" fontId="1" fillId="2" borderId="0" xfId="1" applyNumberFormat="1" applyFont="1" applyFill="1">
      <alignment vertical="center"/>
    </xf>
    <xf numFmtId="165" fontId="1" fillId="2" borderId="0" xfId="1" applyNumberFormat="1" applyFont="1" applyFill="1" applyAlignment="1">
      <alignment horizontal="right" vertical="center"/>
    </xf>
    <xf numFmtId="0" fontId="0" fillId="2" borderId="5" xfId="1" applyFont="1" applyFill="1" applyBorder="1">
      <alignment vertical="center"/>
    </xf>
    <xf numFmtId="165" fontId="0" fillId="2" borderId="5" xfId="1" applyNumberFormat="1" applyFont="1" applyFill="1" applyBorder="1">
      <alignment vertical="center"/>
    </xf>
    <xf numFmtId="0" fontId="0" fillId="2" borderId="18" xfId="1" applyFont="1" applyFill="1" applyBorder="1">
      <alignment vertical="center"/>
    </xf>
    <xf numFmtId="0" fontId="0" fillId="2" borderId="0" xfId="1" applyFont="1" applyFill="1">
      <alignment vertical="center"/>
    </xf>
    <xf numFmtId="9" fontId="1" fillId="2" borderId="5" xfId="1" applyNumberFormat="1" applyFont="1" applyFill="1" applyBorder="1">
      <alignment vertical="center"/>
    </xf>
    <xf numFmtId="9" fontId="0" fillId="2" borderId="5" xfId="1" applyNumberFormat="1" applyFont="1" applyFill="1" applyBorder="1">
      <alignment vertical="center"/>
    </xf>
    <xf numFmtId="9" fontId="1" fillId="2" borderId="0" xfId="1" applyNumberFormat="1" applyFont="1" applyFill="1">
      <alignment vertical="center"/>
    </xf>
    <xf numFmtId="0" fontId="0" fillId="2" borderId="17" xfId="1" applyFont="1" applyFill="1" applyBorder="1">
      <alignment vertical="center"/>
    </xf>
    <xf numFmtId="9" fontId="0" fillId="2" borderId="17" xfId="1" applyNumberFormat="1" applyFont="1" applyFill="1" applyBorder="1">
      <alignment vertical="center"/>
    </xf>
    <xf numFmtId="165" fontId="0" fillId="2" borderId="17" xfId="1" applyNumberFormat="1" applyFont="1" applyFill="1" applyBorder="1">
      <alignment vertical="center"/>
    </xf>
    <xf numFmtId="165" fontId="0" fillId="2" borderId="21" xfId="1" applyNumberFormat="1" applyFont="1" applyFill="1" applyBorder="1" applyAlignment="1">
      <alignment horizontal="center" vertical="center"/>
    </xf>
    <xf numFmtId="0" fontId="1" fillId="2" borderId="22" xfId="1" applyFont="1" applyFill="1" applyBorder="1" applyAlignment="1">
      <alignment horizontal="center" vertical="center"/>
    </xf>
    <xf numFmtId="0" fontId="6" fillId="2" borderId="23" xfId="1" applyFont="1" applyFill="1" applyBorder="1">
      <alignment vertical="center"/>
    </xf>
    <xf numFmtId="0" fontId="1" fillId="2" borderId="23" xfId="1" applyFont="1" applyFill="1" applyBorder="1">
      <alignment vertical="center"/>
    </xf>
    <xf numFmtId="9" fontId="1" fillId="2" borderId="23" xfId="1" applyNumberFormat="1" applyFont="1" applyFill="1" applyBorder="1">
      <alignment vertical="center"/>
    </xf>
    <xf numFmtId="165" fontId="1" fillId="2" borderId="23" xfId="1" applyNumberFormat="1" applyFont="1" applyFill="1" applyBorder="1">
      <alignment vertical="center"/>
    </xf>
    <xf numFmtId="165" fontId="1" fillId="2" borderId="24" xfId="1" applyNumberFormat="1" applyFont="1" applyFill="1" applyBorder="1" applyAlignment="1">
      <alignment horizontal="right" vertical="center"/>
    </xf>
    <xf numFmtId="0" fontId="1" fillId="2" borderId="19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3" fillId="2" borderId="25" xfId="1" applyFont="1" applyFill="1" applyBorder="1" applyAlignment="1">
      <alignment horizontal="center" vertical="center"/>
    </xf>
    <xf numFmtId="0" fontId="1" fillId="2" borderId="26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vertical="center" wrapText="1"/>
    </xf>
    <xf numFmtId="0" fontId="0" fillId="2" borderId="5" xfId="1" applyFont="1" applyFill="1" applyBorder="1" applyAlignment="1">
      <alignment vertical="center" wrapText="1"/>
    </xf>
    <xf numFmtId="0" fontId="1" fillId="2" borderId="20" xfId="1" applyFont="1" applyFill="1" applyBorder="1" applyAlignment="1">
      <alignment horizontal="left" vertical="center"/>
    </xf>
    <xf numFmtId="0" fontId="1" fillId="2" borderId="19" xfId="1" applyFont="1" applyFill="1" applyBorder="1" applyAlignment="1">
      <alignment horizontal="left" vertical="center"/>
    </xf>
    <xf numFmtId="0" fontId="1" fillId="2" borderId="26" xfId="1" applyFont="1" applyFill="1" applyBorder="1" applyAlignment="1">
      <alignment horizontal="left" vertical="center"/>
    </xf>
  </cellXfs>
  <cellStyles count="3">
    <cellStyle name="Normal" xfId="0" builtinId="0"/>
    <cellStyle name="Normal 2" xfId="2" xr:uid="{5C1468C0-22DF-4B4B-8550-388C9B228979}"/>
    <cellStyle name="Normal 3" xfId="1" xr:uid="{4236BBAE-CA3D-4B41-8BE2-6C07709D4D0F}"/>
  </cellStyles>
  <dxfs count="1">
    <dxf>
      <fill>
        <patternFill>
          <bgColor rgb="FFE0B0FF"/>
        </patternFill>
      </fill>
    </dxf>
  </dxfs>
  <tableStyles count="0" defaultTableStyle="TableStyleMedium2" defaultPivotStyle="PivotStyleLight16"/>
  <colors>
    <mruColors>
      <color rgb="FFFFE4E1"/>
      <color rgb="FFE0B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1</xdr:row>
      <xdr:rowOff>165100</xdr:rowOff>
    </xdr:from>
    <xdr:to>
      <xdr:col>5</xdr:col>
      <xdr:colOff>508000</xdr:colOff>
      <xdr:row>4</xdr:row>
      <xdr:rowOff>101600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17D155DE-AD56-72D0-D5E6-13AEE3BC9719}"/>
            </a:ext>
          </a:extLst>
        </xdr:cNvPr>
        <xdr:cNvSpPr/>
      </xdr:nvSpPr>
      <xdr:spPr>
        <a:xfrm>
          <a:off x="3505200" y="368300"/>
          <a:ext cx="1765300" cy="546100"/>
        </a:xfrm>
        <a:prstGeom prst="roundRect">
          <a:avLst/>
        </a:prstGeom>
        <a:ln w="63500"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000"/>
            <a:t>HTML</a:t>
          </a:r>
        </a:p>
      </xdr:txBody>
    </xdr:sp>
    <xdr:clientData/>
  </xdr:twoCellAnchor>
  <xdr:twoCellAnchor>
    <xdr:from>
      <xdr:col>0</xdr:col>
      <xdr:colOff>876300</xdr:colOff>
      <xdr:row>0</xdr:row>
      <xdr:rowOff>139700</xdr:rowOff>
    </xdr:from>
    <xdr:to>
      <xdr:col>3</xdr:col>
      <xdr:colOff>292100</xdr:colOff>
      <xdr:row>6</xdr:row>
      <xdr:rowOff>139700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C7FE016-3F82-9F1E-7386-844A60C3506D}"/>
            </a:ext>
          </a:extLst>
        </xdr:cNvPr>
        <xdr:cNvSpPr/>
      </xdr:nvSpPr>
      <xdr:spPr>
        <a:xfrm>
          <a:off x="876300" y="139700"/>
          <a:ext cx="2273300" cy="1219200"/>
        </a:xfrm>
        <a:prstGeom prst="rect">
          <a:avLst/>
        </a:prstGeom>
        <a:solidFill>
          <a:schemeClr val="bg1"/>
        </a:solidFill>
        <a:ln w="635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chemeClr val="tx1"/>
              </a:solidFill>
            </a:rPr>
            <a:t>dependencies</a:t>
          </a:r>
        </a:p>
        <a:p>
          <a:pPr algn="l"/>
          <a:r>
            <a:rPr lang="en-US" sz="2000" b="1">
              <a:solidFill>
                <a:schemeClr val="tx1"/>
              </a:solidFill>
            </a:rPr>
            <a:t>p5.js</a:t>
          </a:r>
        </a:p>
        <a:p>
          <a:pPr algn="l"/>
          <a:r>
            <a:rPr lang="en-US" sz="2000" b="1">
              <a:solidFill>
                <a:schemeClr val="tx1"/>
              </a:solidFill>
            </a:rPr>
            <a:t>p5.sound</a:t>
          </a:r>
        </a:p>
      </xdr:txBody>
    </xdr:sp>
    <xdr:clientData/>
  </xdr:twoCellAnchor>
  <xdr:twoCellAnchor>
    <xdr:from>
      <xdr:col>3</xdr:col>
      <xdr:colOff>749300</xdr:colOff>
      <xdr:row>7</xdr:row>
      <xdr:rowOff>12700</xdr:rowOff>
    </xdr:from>
    <xdr:to>
      <xdr:col>5</xdr:col>
      <xdr:colOff>609600</xdr:colOff>
      <xdr:row>9</xdr:row>
      <xdr:rowOff>152400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13F85AF0-51B5-654D-8CE9-D396B79EC511}"/>
            </a:ext>
          </a:extLst>
        </xdr:cNvPr>
        <xdr:cNvSpPr/>
      </xdr:nvSpPr>
      <xdr:spPr>
        <a:xfrm>
          <a:off x="3606800" y="1435100"/>
          <a:ext cx="1765300" cy="546100"/>
        </a:xfrm>
        <a:prstGeom prst="roundRect">
          <a:avLst/>
        </a:prstGeom>
        <a:solidFill>
          <a:schemeClr val="bg1"/>
        </a:solidFill>
        <a:ln w="63500"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000">
              <a:solidFill>
                <a:schemeClr val="tx1"/>
              </a:solidFill>
            </a:rPr>
            <a:t>p5.app</a:t>
          </a:r>
        </a:p>
      </xdr:txBody>
    </xdr:sp>
    <xdr:clientData/>
  </xdr:twoCellAnchor>
  <xdr:twoCellAnchor>
    <xdr:from>
      <xdr:col>5</xdr:col>
      <xdr:colOff>749300</xdr:colOff>
      <xdr:row>6</xdr:row>
      <xdr:rowOff>190500</xdr:rowOff>
    </xdr:from>
    <xdr:to>
      <xdr:col>7</xdr:col>
      <xdr:colOff>0</xdr:colOff>
      <xdr:row>9</xdr:row>
      <xdr:rowOff>63500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D9B1364-A6D7-9540-BB0C-1223F7F848B7}"/>
            </a:ext>
          </a:extLst>
        </xdr:cNvPr>
        <xdr:cNvSpPr/>
      </xdr:nvSpPr>
      <xdr:spPr>
        <a:xfrm>
          <a:off x="5511800" y="1409700"/>
          <a:ext cx="1155700" cy="482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chemeClr val="tx1"/>
              </a:solidFill>
            </a:rPr>
            <a:t>skecth.js</a:t>
          </a:r>
        </a:p>
      </xdr:txBody>
    </xdr:sp>
    <xdr:clientData/>
  </xdr:twoCellAnchor>
  <xdr:twoCellAnchor>
    <xdr:from>
      <xdr:col>1</xdr:col>
      <xdr:colOff>368300</xdr:colOff>
      <xdr:row>15</xdr:row>
      <xdr:rowOff>12700</xdr:rowOff>
    </xdr:from>
    <xdr:to>
      <xdr:col>3</xdr:col>
      <xdr:colOff>927100</xdr:colOff>
      <xdr:row>17</xdr:row>
      <xdr:rowOff>152400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14398652-6C66-6947-B1D4-C77A28076D9A}"/>
            </a:ext>
          </a:extLst>
        </xdr:cNvPr>
        <xdr:cNvSpPr/>
      </xdr:nvSpPr>
      <xdr:spPr>
        <a:xfrm>
          <a:off x="1320800" y="3060700"/>
          <a:ext cx="2463800" cy="546100"/>
        </a:xfrm>
        <a:prstGeom prst="roundRect">
          <a:avLst/>
        </a:prstGeom>
        <a:solidFill>
          <a:schemeClr val="bg1"/>
        </a:solidFill>
        <a:ln w="63500"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000">
              <a:solidFill>
                <a:schemeClr val="tx1"/>
              </a:solidFill>
            </a:rPr>
            <a:t>music_player</a:t>
          </a:r>
        </a:p>
      </xdr:txBody>
    </xdr:sp>
    <xdr:clientData/>
  </xdr:twoCellAnchor>
  <xdr:twoCellAnchor>
    <xdr:from>
      <xdr:col>3</xdr:col>
      <xdr:colOff>76200</xdr:colOff>
      <xdr:row>24</xdr:row>
      <xdr:rowOff>114300</xdr:rowOff>
    </xdr:from>
    <xdr:to>
      <xdr:col>4</xdr:col>
      <xdr:colOff>889000</xdr:colOff>
      <xdr:row>27</xdr:row>
      <xdr:rowOff>50800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9DF1158F-4D72-7242-9A4C-592B009B3204}"/>
            </a:ext>
          </a:extLst>
        </xdr:cNvPr>
        <xdr:cNvSpPr/>
      </xdr:nvSpPr>
      <xdr:spPr>
        <a:xfrm>
          <a:off x="2933700" y="4991100"/>
          <a:ext cx="1765300" cy="546100"/>
        </a:xfrm>
        <a:prstGeom prst="roundRect">
          <a:avLst/>
        </a:prstGeom>
        <a:solidFill>
          <a:schemeClr val="bg1"/>
        </a:solidFill>
        <a:ln w="63500"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000">
              <a:solidFill>
                <a:schemeClr val="tx1"/>
              </a:solidFill>
            </a:rPr>
            <a:t>fourier</a:t>
          </a:r>
        </a:p>
      </xdr:txBody>
    </xdr:sp>
    <xdr:clientData/>
  </xdr:twoCellAnchor>
  <xdr:twoCellAnchor>
    <xdr:from>
      <xdr:col>6</xdr:col>
      <xdr:colOff>0</xdr:colOff>
      <xdr:row>20</xdr:row>
      <xdr:rowOff>0</xdr:rowOff>
    </xdr:from>
    <xdr:to>
      <xdr:col>7</xdr:col>
      <xdr:colOff>812800</xdr:colOff>
      <xdr:row>22</xdr:row>
      <xdr:rowOff>139700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358D1955-C55E-6041-902F-ACDDC4AD8874}"/>
            </a:ext>
          </a:extLst>
        </xdr:cNvPr>
        <xdr:cNvSpPr/>
      </xdr:nvSpPr>
      <xdr:spPr>
        <a:xfrm>
          <a:off x="5715000" y="4064000"/>
          <a:ext cx="1765300" cy="546100"/>
        </a:xfrm>
        <a:prstGeom prst="roundRect">
          <a:avLst/>
        </a:prstGeom>
        <a:solidFill>
          <a:schemeClr val="bg1"/>
        </a:solidFill>
        <a:ln w="63500"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000">
              <a:solidFill>
                <a:schemeClr val="tx1"/>
              </a:solidFill>
            </a:rPr>
            <a:t>sound</a:t>
          </a:r>
        </a:p>
      </xdr:txBody>
    </xdr:sp>
    <xdr:clientData/>
  </xdr:twoCellAnchor>
  <xdr:twoCellAnchor>
    <xdr:from>
      <xdr:col>5</xdr:col>
      <xdr:colOff>635000</xdr:colOff>
      <xdr:row>14</xdr:row>
      <xdr:rowOff>165100</xdr:rowOff>
    </xdr:from>
    <xdr:to>
      <xdr:col>7</xdr:col>
      <xdr:colOff>495300</xdr:colOff>
      <xdr:row>17</xdr:row>
      <xdr:rowOff>101600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EAD51F38-822C-1240-AA70-0BE7228AA721}"/>
            </a:ext>
          </a:extLst>
        </xdr:cNvPr>
        <xdr:cNvSpPr/>
      </xdr:nvSpPr>
      <xdr:spPr>
        <a:xfrm>
          <a:off x="5397500" y="3009900"/>
          <a:ext cx="1765300" cy="546100"/>
        </a:xfrm>
        <a:prstGeom prst="roundRect">
          <a:avLst/>
        </a:prstGeom>
        <a:solidFill>
          <a:schemeClr val="bg1"/>
        </a:solidFill>
        <a:ln w="63500"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000">
              <a:solidFill>
                <a:schemeClr val="tx1"/>
              </a:solidFill>
            </a:rPr>
            <a:t>vis </a:t>
          </a:r>
        </a:p>
      </xdr:txBody>
    </xdr:sp>
    <xdr:clientData/>
  </xdr:twoCellAnchor>
  <xdr:twoCellAnchor>
    <xdr:from>
      <xdr:col>4</xdr:col>
      <xdr:colOff>679450</xdr:colOff>
      <xdr:row>9</xdr:row>
      <xdr:rowOff>152400</xdr:rowOff>
    </xdr:from>
    <xdr:to>
      <xdr:col>6</xdr:col>
      <xdr:colOff>565150</xdr:colOff>
      <xdr:row>14</xdr:row>
      <xdr:rowOff>165100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F0B5BACE-9798-8C9B-65F5-4BC565474CFB}"/>
            </a:ext>
          </a:extLst>
        </xdr:cNvPr>
        <xdr:cNvCxnSpPr>
          <a:stCxn id="4" idx="2"/>
          <a:endCxn id="9" idx="0"/>
        </xdr:cNvCxnSpPr>
      </xdr:nvCxnSpPr>
      <xdr:spPr>
        <a:xfrm>
          <a:off x="4489450" y="1981200"/>
          <a:ext cx="1790700" cy="1028700"/>
        </a:xfrm>
        <a:prstGeom prst="straightConnector1">
          <a:avLst/>
        </a:prstGeom>
        <a:ln w="635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</xdr:colOff>
      <xdr:row>9</xdr:row>
      <xdr:rowOff>152400</xdr:rowOff>
    </xdr:from>
    <xdr:to>
      <xdr:col>4</xdr:col>
      <xdr:colOff>679450</xdr:colOff>
      <xdr:row>24</xdr:row>
      <xdr:rowOff>114300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1FC6DEB-0D02-3C40-B0CA-FC745AF8CE2B}"/>
            </a:ext>
          </a:extLst>
        </xdr:cNvPr>
        <xdr:cNvCxnSpPr>
          <a:stCxn id="4" idx="2"/>
          <a:endCxn id="7" idx="0"/>
        </xdr:cNvCxnSpPr>
      </xdr:nvCxnSpPr>
      <xdr:spPr>
        <a:xfrm flipH="1">
          <a:off x="3816350" y="1981200"/>
          <a:ext cx="673100" cy="3009900"/>
        </a:xfrm>
        <a:prstGeom prst="straightConnector1">
          <a:avLst/>
        </a:prstGeom>
        <a:ln w="635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730250</xdr:colOff>
      <xdr:row>17</xdr:row>
      <xdr:rowOff>152400</xdr:rowOff>
    </xdr:from>
    <xdr:to>
      <xdr:col>2</xdr:col>
      <xdr:colOff>647700</xdr:colOff>
      <xdr:row>22</xdr:row>
      <xdr:rowOff>177800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E14E8FBC-B9FD-F44B-A112-45EE84EBF4FE}"/>
            </a:ext>
          </a:extLst>
        </xdr:cNvPr>
        <xdr:cNvCxnSpPr>
          <a:stCxn id="6" idx="2"/>
          <a:endCxn id="10" idx="0"/>
        </xdr:cNvCxnSpPr>
      </xdr:nvCxnSpPr>
      <xdr:spPr>
        <a:xfrm flipH="1">
          <a:off x="1682750" y="3606800"/>
          <a:ext cx="869950" cy="1041400"/>
        </a:xfrm>
        <a:prstGeom prst="straightConnector1">
          <a:avLst/>
        </a:prstGeom>
        <a:ln w="635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577850</xdr:colOff>
      <xdr:row>4</xdr:row>
      <xdr:rowOff>101600</xdr:rowOff>
    </xdr:from>
    <xdr:to>
      <xdr:col>4</xdr:col>
      <xdr:colOff>679450</xdr:colOff>
      <xdr:row>7</xdr:row>
      <xdr:rowOff>12700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4D604800-CEDB-3344-9B9D-52729ECCD612}"/>
            </a:ext>
          </a:extLst>
        </xdr:cNvPr>
        <xdr:cNvCxnSpPr>
          <a:stCxn id="2" idx="2"/>
          <a:endCxn id="4" idx="0"/>
        </xdr:cNvCxnSpPr>
      </xdr:nvCxnSpPr>
      <xdr:spPr>
        <a:xfrm>
          <a:off x="4387850" y="914400"/>
          <a:ext cx="101600" cy="520700"/>
        </a:xfrm>
        <a:prstGeom prst="straightConnector1">
          <a:avLst/>
        </a:prstGeom>
        <a:ln w="635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88900</xdr:colOff>
      <xdr:row>5</xdr:row>
      <xdr:rowOff>0</xdr:rowOff>
    </xdr:from>
    <xdr:to>
      <xdr:col>28</xdr:col>
      <xdr:colOff>527958</xdr:colOff>
      <xdr:row>64</xdr:row>
      <xdr:rowOff>137886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C93F16-42ED-6143-844E-D3EA4BBF5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6400" y="1016000"/>
          <a:ext cx="16631558" cy="12126686"/>
        </a:xfrm>
        <a:prstGeom prst="rect">
          <a:avLst/>
        </a:prstGeom>
      </xdr:spPr>
    </xdr:pic>
    <xdr:clientData/>
  </xdr:twoCellAnchor>
  <xdr:twoCellAnchor>
    <xdr:from>
      <xdr:col>0</xdr:col>
      <xdr:colOff>800100</xdr:colOff>
      <xdr:row>22</xdr:row>
      <xdr:rowOff>177800</xdr:rowOff>
    </xdr:from>
    <xdr:to>
      <xdr:col>2</xdr:col>
      <xdr:colOff>660400</xdr:colOff>
      <xdr:row>25</xdr:row>
      <xdr:rowOff>114300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5481858B-2954-854B-9BFB-3DA754726C20}"/>
            </a:ext>
          </a:extLst>
        </xdr:cNvPr>
        <xdr:cNvSpPr/>
      </xdr:nvSpPr>
      <xdr:spPr>
        <a:xfrm>
          <a:off x="800100" y="4648200"/>
          <a:ext cx="1765300" cy="546100"/>
        </a:xfrm>
        <a:prstGeom prst="roundRect">
          <a:avLst/>
        </a:prstGeom>
        <a:solidFill>
          <a:schemeClr val="bg1"/>
        </a:solidFill>
        <a:ln w="63500"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000">
              <a:solidFill>
                <a:schemeClr val="tx1"/>
              </a:solidFill>
            </a:rPr>
            <a:t>buttons</a:t>
          </a:r>
        </a:p>
      </xdr:txBody>
    </xdr:sp>
    <xdr:clientData/>
  </xdr:twoCellAnchor>
  <xdr:twoCellAnchor>
    <xdr:from>
      <xdr:col>2</xdr:col>
      <xdr:colOff>647700</xdr:colOff>
      <xdr:row>9</xdr:row>
      <xdr:rowOff>152400</xdr:rowOff>
    </xdr:from>
    <xdr:to>
      <xdr:col>4</xdr:col>
      <xdr:colOff>679450</xdr:colOff>
      <xdr:row>15</xdr:row>
      <xdr:rowOff>12700</xdr:rowOff>
    </xdr:to>
    <xdr:cxnSp macro="">
      <xdr:nvCxnSpPr>
        <xdr:cNvPr id="16" name="Elbow Connector 15">
          <a:extLst>
            <a:ext uri="{FF2B5EF4-FFF2-40B4-BE49-F238E27FC236}">
              <a16:creationId xmlns:a16="http://schemas.microsoft.com/office/drawing/2014/main" id="{73A3C53A-F409-D746-71C9-F08483AD553F}"/>
            </a:ext>
          </a:extLst>
        </xdr:cNvPr>
        <xdr:cNvCxnSpPr>
          <a:stCxn id="4" idx="2"/>
          <a:endCxn id="6" idx="0"/>
        </xdr:cNvCxnSpPr>
      </xdr:nvCxnSpPr>
      <xdr:spPr>
        <a:xfrm rot="5400000">
          <a:off x="2981325" y="1552575"/>
          <a:ext cx="1079500" cy="1936750"/>
        </a:xfrm>
        <a:prstGeom prst="bentConnector3">
          <a:avLst/>
        </a:prstGeom>
        <a:ln w="635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679450</xdr:colOff>
      <xdr:row>9</xdr:row>
      <xdr:rowOff>152400</xdr:rowOff>
    </xdr:from>
    <xdr:to>
      <xdr:col>6</xdr:col>
      <xdr:colOff>0</xdr:colOff>
      <xdr:row>21</xdr:row>
      <xdr:rowOff>69850</xdr:rowOff>
    </xdr:to>
    <xdr:cxnSp macro="">
      <xdr:nvCxnSpPr>
        <xdr:cNvPr id="23" name="Elbow Connector 22">
          <a:extLst>
            <a:ext uri="{FF2B5EF4-FFF2-40B4-BE49-F238E27FC236}">
              <a16:creationId xmlns:a16="http://schemas.microsoft.com/office/drawing/2014/main" id="{0391EAA0-A8F9-5949-B989-F7780F54387E}"/>
            </a:ext>
          </a:extLst>
        </xdr:cNvPr>
        <xdr:cNvCxnSpPr>
          <a:stCxn id="4" idx="2"/>
          <a:endCxn id="8" idx="1"/>
        </xdr:cNvCxnSpPr>
      </xdr:nvCxnSpPr>
      <xdr:spPr>
        <a:xfrm rot="16200000" flipH="1">
          <a:off x="3924300" y="2546350"/>
          <a:ext cx="2355850" cy="1225550"/>
        </a:xfrm>
        <a:prstGeom prst="bentConnector2">
          <a:avLst/>
        </a:prstGeom>
        <a:ln w="635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444500</xdr:colOff>
      <xdr:row>11</xdr:row>
      <xdr:rowOff>101600</xdr:rowOff>
    </xdr:from>
    <xdr:to>
      <xdr:col>2</xdr:col>
      <xdr:colOff>304800</xdr:colOff>
      <xdr:row>14</xdr:row>
      <xdr:rowOff>38100</xdr:rowOff>
    </xdr:to>
    <xdr:sp macro="" textlink="">
      <xdr:nvSpPr>
        <xdr:cNvPr id="30" name="Rounded Rectangle 29">
          <a:extLst>
            <a:ext uri="{FF2B5EF4-FFF2-40B4-BE49-F238E27FC236}">
              <a16:creationId xmlns:a16="http://schemas.microsoft.com/office/drawing/2014/main" id="{B69E21AF-E67F-D045-83A8-90B27544287F}"/>
            </a:ext>
          </a:extLst>
        </xdr:cNvPr>
        <xdr:cNvSpPr/>
      </xdr:nvSpPr>
      <xdr:spPr>
        <a:xfrm>
          <a:off x="444500" y="2336800"/>
          <a:ext cx="1765300" cy="546100"/>
        </a:xfrm>
        <a:prstGeom prst="roundRect">
          <a:avLst/>
        </a:prstGeom>
        <a:solidFill>
          <a:schemeClr val="bg1"/>
        </a:solidFill>
        <a:ln w="63500"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000">
              <a:solidFill>
                <a:schemeClr val="tx1"/>
              </a:solidFill>
            </a:rPr>
            <a:t>controls</a:t>
          </a:r>
        </a:p>
      </xdr:txBody>
    </xdr:sp>
    <xdr:clientData/>
  </xdr:twoCellAnchor>
  <xdr:twoCellAnchor>
    <xdr:from>
      <xdr:col>1</xdr:col>
      <xdr:colOff>374650</xdr:colOff>
      <xdr:row>8</xdr:row>
      <xdr:rowOff>82550</xdr:rowOff>
    </xdr:from>
    <xdr:to>
      <xdr:col>3</xdr:col>
      <xdr:colOff>749300</xdr:colOff>
      <xdr:row>11</xdr:row>
      <xdr:rowOff>101600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74BB5DAD-2E1A-9C47-8F45-7C80C4C2F3CC}"/>
            </a:ext>
          </a:extLst>
        </xdr:cNvPr>
        <xdr:cNvCxnSpPr>
          <a:stCxn id="4" idx="1"/>
          <a:endCxn id="30" idx="0"/>
        </xdr:cNvCxnSpPr>
      </xdr:nvCxnSpPr>
      <xdr:spPr>
        <a:xfrm flipH="1">
          <a:off x="1327150" y="1708150"/>
          <a:ext cx="2279650" cy="628650"/>
        </a:xfrm>
        <a:prstGeom prst="straightConnector1">
          <a:avLst/>
        </a:prstGeom>
        <a:ln w="635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939144</xdr:colOff>
      <xdr:row>1</xdr:row>
      <xdr:rowOff>67003</xdr:rowOff>
    </xdr:from>
    <xdr:to>
      <xdr:col>7</xdr:col>
      <xdr:colOff>2359354</xdr:colOff>
      <xdr:row>11</xdr:row>
      <xdr:rowOff>117803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16E816-F6E1-A640-863C-280FEFDC6A54}"/>
            </a:ext>
          </a:extLst>
        </xdr:cNvPr>
        <xdr:cNvSpPr/>
      </xdr:nvSpPr>
      <xdr:spPr>
        <a:xfrm>
          <a:off x="4623239" y="269546"/>
          <a:ext cx="2372710" cy="2076231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Button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----------------------------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x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y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width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height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drawStrategy : drawStrategy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hitCheckStrategy : hitCheckStrategy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draw() : void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hitCheck() : boolean</a:t>
          </a:r>
          <a:r>
            <a:rPr lang="en-US">
              <a:solidFill>
                <a:schemeClr val="tx1"/>
              </a:solidFill>
            </a:rPr>
            <a:t> </a:t>
          </a:r>
        </a:p>
        <a:p>
          <a:pPr algn="l"/>
          <a:r>
            <a:rPr lang="en-US" sz="1100">
              <a:solidFill>
                <a:schemeClr val="tx1"/>
              </a:solidFill>
            </a:rPr>
            <a:t>- setPosition(int,</a:t>
          </a:r>
          <a:r>
            <a:rPr lang="en-US" sz="1100" baseline="0">
              <a:solidFill>
                <a:schemeClr val="tx1"/>
              </a:solidFill>
            </a:rPr>
            <a:t> int, int, int) : void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611041</xdr:colOff>
      <xdr:row>4</xdr:row>
      <xdr:rowOff>102734</xdr:rowOff>
    </xdr:from>
    <xdr:to>
      <xdr:col>5</xdr:col>
      <xdr:colOff>1801557</xdr:colOff>
      <xdr:row>13</xdr:row>
      <xdr:rowOff>19641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B866480-8A8D-4B49-98D3-C2439E2FB21C}"/>
            </a:ext>
          </a:extLst>
        </xdr:cNvPr>
        <xdr:cNvSpPr/>
      </xdr:nvSpPr>
      <xdr:spPr>
        <a:xfrm>
          <a:off x="4434134" y="914487"/>
          <a:ext cx="2146289" cy="1743350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ControlsAndInput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-------------------------------------------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buttons : Button[]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mousePressed() : boolean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keyPressed(int) : void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draw() : void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menu() : void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menuDisplayed : boolean</a:t>
          </a:r>
        </a:p>
        <a:p>
          <a:pPr algn="l"/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isPlaying : boolean</a:t>
          </a:r>
        </a:p>
      </xdr:txBody>
    </xdr:sp>
    <xdr:clientData/>
  </xdr:twoCellAnchor>
  <xdr:twoCellAnchor>
    <xdr:from>
      <xdr:col>5</xdr:col>
      <xdr:colOff>1801557</xdr:colOff>
      <xdr:row>6</xdr:row>
      <xdr:rowOff>92403</xdr:rowOff>
    </xdr:from>
    <xdr:to>
      <xdr:col>6</xdr:col>
      <xdr:colOff>939144</xdr:colOff>
      <xdr:row>8</xdr:row>
      <xdr:rowOff>162657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29121E8-CECF-0548-B34A-2588EA618568}"/>
            </a:ext>
          </a:extLst>
        </xdr:cNvPr>
        <xdr:cNvCxnSpPr>
          <a:stCxn id="3" idx="3"/>
          <a:endCxn id="2" idx="1"/>
        </xdr:cNvCxnSpPr>
      </xdr:nvCxnSpPr>
      <xdr:spPr>
        <a:xfrm flipV="1">
          <a:off x="6580423" y="1310032"/>
          <a:ext cx="1867432" cy="476130"/>
        </a:xfrm>
        <a:prstGeom prst="straightConnector1">
          <a:avLst/>
        </a:prstGeom>
        <a:ln w="63500">
          <a:solidFill>
            <a:schemeClr val="tx1"/>
          </a:solidFill>
          <a:miter lim="800000"/>
          <a:headEnd type="diamond" w="lg" len="lg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714485</xdr:colOff>
      <xdr:row>21</xdr:row>
      <xdr:rowOff>66567</xdr:rowOff>
    </xdr:from>
    <xdr:to>
      <xdr:col>7</xdr:col>
      <xdr:colOff>3010776</xdr:colOff>
      <xdr:row>28</xdr:row>
      <xdr:rowOff>16423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7078B46-B789-2E4D-871D-9609B22A4DDF}"/>
            </a:ext>
          </a:extLst>
        </xdr:cNvPr>
        <xdr:cNvSpPr/>
      </xdr:nvSpPr>
      <xdr:spPr>
        <a:xfrm>
          <a:off x="4398580" y="4319972"/>
          <a:ext cx="3248791" cy="1367658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PlaybackAndPauseDrawStrategy implements Button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------------------------------------------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x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y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width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height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draw() : void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786586</xdr:colOff>
      <xdr:row>20</xdr:row>
      <xdr:rowOff>186092</xdr:rowOff>
    </xdr:from>
    <xdr:to>
      <xdr:col>9</xdr:col>
      <xdr:colOff>3461686</xdr:colOff>
      <xdr:row>27</xdr:row>
      <xdr:rowOff>109891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414F127-4678-464B-9D2F-1DCC619C9095}"/>
            </a:ext>
          </a:extLst>
        </xdr:cNvPr>
        <xdr:cNvSpPr/>
      </xdr:nvSpPr>
      <xdr:spPr>
        <a:xfrm>
          <a:off x="12871225" y="4244855"/>
          <a:ext cx="3630873" cy="1344366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PlaybackAndPauseHitCheckStrategy implements Button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---------------------------------------------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x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y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width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height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hitCheck() : boolean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396547</xdr:colOff>
      <xdr:row>18</xdr:row>
      <xdr:rowOff>6569</xdr:rowOff>
    </xdr:from>
    <xdr:to>
      <xdr:col>6</xdr:col>
      <xdr:colOff>714485</xdr:colOff>
      <xdr:row>24</xdr:row>
      <xdr:rowOff>142767</xdr:rowOff>
    </xdr:to>
    <xdr:cxnSp macro="">
      <xdr:nvCxnSpPr>
        <xdr:cNvPr id="13" name="Elbow Connector 12">
          <a:extLst>
            <a:ext uri="{FF2B5EF4-FFF2-40B4-BE49-F238E27FC236}">
              <a16:creationId xmlns:a16="http://schemas.microsoft.com/office/drawing/2014/main" id="{DF5C877D-6493-71FC-CB21-3FAB62C850D2}"/>
            </a:ext>
          </a:extLst>
        </xdr:cNvPr>
        <xdr:cNvCxnSpPr>
          <a:stCxn id="7" idx="1"/>
          <a:endCxn id="39" idx="2"/>
        </xdr:cNvCxnSpPr>
      </xdr:nvCxnSpPr>
      <xdr:spPr>
        <a:xfrm rot="10800000">
          <a:off x="4080642" y="3652345"/>
          <a:ext cx="317938" cy="1351456"/>
        </a:xfrm>
        <a:prstGeom prst="bentConnector2">
          <a:avLst/>
        </a:prstGeom>
        <a:ln w="635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374974</xdr:colOff>
      <xdr:row>18</xdr:row>
      <xdr:rowOff>93061</xdr:rowOff>
    </xdr:from>
    <xdr:to>
      <xdr:col>8</xdr:col>
      <xdr:colOff>786586</xdr:colOff>
      <xdr:row>24</xdr:row>
      <xdr:rowOff>46524</xdr:rowOff>
    </xdr:to>
    <xdr:cxnSp macro="">
      <xdr:nvCxnSpPr>
        <xdr:cNvPr id="17" name="Elbow Connector 16">
          <a:extLst>
            <a:ext uri="{FF2B5EF4-FFF2-40B4-BE49-F238E27FC236}">
              <a16:creationId xmlns:a16="http://schemas.microsoft.com/office/drawing/2014/main" id="{A59AF0D1-7A5B-324E-BDE3-34B17138331E}"/>
            </a:ext>
          </a:extLst>
        </xdr:cNvPr>
        <xdr:cNvCxnSpPr>
          <a:stCxn id="8" idx="1"/>
          <a:endCxn id="40" idx="2"/>
        </xdr:cNvCxnSpPr>
      </xdr:nvCxnSpPr>
      <xdr:spPr>
        <a:xfrm rot="10800000">
          <a:off x="12459613" y="3745948"/>
          <a:ext cx="411612" cy="1171091"/>
        </a:xfrm>
        <a:prstGeom prst="bentConnector2">
          <a:avLst/>
        </a:prstGeom>
        <a:ln w="635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734630</xdr:colOff>
      <xdr:row>29</xdr:row>
      <xdr:rowOff>99849</xdr:rowOff>
    </xdr:from>
    <xdr:to>
      <xdr:col>7</xdr:col>
      <xdr:colOff>2589268</xdr:colOff>
      <xdr:row>37</xdr:row>
      <xdr:rowOff>112549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8B16397-1068-DD4D-9F4F-E8D2FAFC457F}"/>
            </a:ext>
          </a:extLst>
        </xdr:cNvPr>
        <xdr:cNvSpPr/>
      </xdr:nvSpPr>
      <xdr:spPr>
        <a:xfrm>
          <a:off x="4418725" y="5973599"/>
          <a:ext cx="2807138" cy="1633045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PlaySpeedDrawStrategy implements Button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--------------------------------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x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y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width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height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buttonType : string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draw() : void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796159</xdr:colOff>
      <xdr:row>29</xdr:row>
      <xdr:rowOff>185027</xdr:rowOff>
    </xdr:from>
    <xdr:to>
      <xdr:col>9</xdr:col>
      <xdr:colOff>3437759</xdr:colOff>
      <xdr:row>37</xdr:row>
      <xdr:rowOff>70726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C87D0388-4429-7940-8CD4-6460F7636878}"/>
            </a:ext>
          </a:extLst>
        </xdr:cNvPr>
        <xdr:cNvSpPr/>
      </xdr:nvSpPr>
      <xdr:spPr>
        <a:xfrm>
          <a:off x="9051159" y="6058777"/>
          <a:ext cx="3594100" cy="1506044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PlaySpeedHitCheckStrategy implements Button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-------------------------------------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x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y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width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height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buttonType : string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hitCheck() : boolean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396548</xdr:colOff>
      <xdr:row>18</xdr:row>
      <xdr:rowOff>6570</xdr:rowOff>
    </xdr:from>
    <xdr:to>
      <xdr:col>6</xdr:col>
      <xdr:colOff>734631</xdr:colOff>
      <xdr:row>33</xdr:row>
      <xdr:rowOff>106201</xdr:rowOff>
    </xdr:to>
    <xdr:cxnSp macro="">
      <xdr:nvCxnSpPr>
        <xdr:cNvPr id="26" name="Elbow Connector 25">
          <a:extLst>
            <a:ext uri="{FF2B5EF4-FFF2-40B4-BE49-F238E27FC236}">
              <a16:creationId xmlns:a16="http://schemas.microsoft.com/office/drawing/2014/main" id="{F68D77E3-C54A-1547-9E98-E731CBFBD5AC}"/>
            </a:ext>
          </a:extLst>
        </xdr:cNvPr>
        <xdr:cNvCxnSpPr>
          <a:stCxn id="24" idx="1"/>
          <a:endCxn id="39" idx="2"/>
        </xdr:cNvCxnSpPr>
      </xdr:nvCxnSpPr>
      <xdr:spPr>
        <a:xfrm rot="10800000">
          <a:off x="4080643" y="3652346"/>
          <a:ext cx="338083" cy="3137777"/>
        </a:xfrm>
        <a:prstGeom prst="bentConnector2">
          <a:avLst/>
        </a:prstGeom>
        <a:ln w="635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374213</xdr:colOff>
      <xdr:row>18</xdr:row>
      <xdr:rowOff>93061</xdr:rowOff>
    </xdr:from>
    <xdr:to>
      <xdr:col>8</xdr:col>
      <xdr:colOff>796160</xdr:colOff>
      <xdr:row>33</xdr:row>
      <xdr:rowOff>127878</xdr:rowOff>
    </xdr:to>
    <xdr:cxnSp macro="">
      <xdr:nvCxnSpPr>
        <xdr:cNvPr id="29" name="Elbow Connector 28">
          <a:extLst>
            <a:ext uri="{FF2B5EF4-FFF2-40B4-BE49-F238E27FC236}">
              <a16:creationId xmlns:a16="http://schemas.microsoft.com/office/drawing/2014/main" id="{5BACE982-D29F-264D-B270-093225459E7A}"/>
            </a:ext>
          </a:extLst>
        </xdr:cNvPr>
        <xdr:cNvCxnSpPr>
          <a:stCxn id="25" idx="1"/>
          <a:endCxn id="40" idx="2"/>
        </xdr:cNvCxnSpPr>
      </xdr:nvCxnSpPr>
      <xdr:spPr>
        <a:xfrm rot="10800000">
          <a:off x="8629213" y="3738837"/>
          <a:ext cx="421947" cy="3072963"/>
        </a:xfrm>
        <a:prstGeom prst="bentConnector2">
          <a:avLst/>
        </a:prstGeom>
        <a:ln w="635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711201</xdr:colOff>
      <xdr:row>3</xdr:row>
      <xdr:rowOff>101600</xdr:rowOff>
    </xdr:from>
    <xdr:to>
      <xdr:col>12</xdr:col>
      <xdr:colOff>556444</xdr:colOff>
      <xdr:row>11</xdr:row>
      <xdr:rowOff>176752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A652802-DF2A-784C-8B88-0243D17C8CBE}"/>
            </a:ext>
          </a:extLst>
        </xdr:cNvPr>
        <xdr:cNvSpPr/>
      </xdr:nvSpPr>
      <xdr:spPr>
        <a:xfrm>
          <a:off x="13548675" y="710414"/>
          <a:ext cx="1756790" cy="1698658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Sound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---------------------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soundSource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sound[]</a:t>
          </a:r>
        </a:p>
        <a:p>
          <a:pPr algn="l"/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sounds[]</a:t>
          </a:r>
        </a:p>
        <a:p>
          <a:pPr algn="l"/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playingSound : integer</a:t>
          </a:r>
        </a:p>
        <a:p>
          <a:pPr algn="l"/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playSpeed : float</a:t>
          </a:r>
        </a:p>
        <a:p>
          <a:pPr algn="l"/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playVolume : float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playing : boolean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loadSound() : void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132912</xdr:colOff>
      <xdr:row>7</xdr:row>
      <xdr:rowOff>139176</xdr:rowOff>
    </xdr:from>
    <xdr:to>
      <xdr:col>10</xdr:col>
      <xdr:colOff>711201</xdr:colOff>
      <xdr:row>17</xdr:row>
      <xdr:rowOff>23342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D4EE9ADF-33BC-BF4A-BA6A-02896A21470E}"/>
            </a:ext>
          </a:extLst>
        </xdr:cNvPr>
        <xdr:cNvCxnSpPr>
          <a:stCxn id="40" idx="3"/>
          <a:endCxn id="33" idx="1"/>
        </xdr:cNvCxnSpPr>
      </xdr:nvCxnSpPr>
      <xdr:spPr>
        <a:xfrm flipV="1">
          <a:off x="9350232" y="1559743"/>
          <a:ext cx="4198443" cy="1913547"/>
        </a:xfrm>
        <a:prstGeom prst="straightConnector1">
          <a:avLst/>
        </a:prstGeom>
        <a:ln w="63500">
          <a:solidFill>
            <a:schemeClr val="bg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2438400</xdr:colOff>
      <xdr:row>5</xdr:row>
      <xdr:rowOff>105760</xdr:rowOff>
    </xdr:from>
    <xdr:ext cx="986680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CDD3B9A-D919-DCD6-61EB-9364DDB393CE}"/>
            </a:ext>
          </a:extLst>
        </xdr:cNvPr>
        <xdr:cNvSpPr txBox="1"/>
      </xdr:nvSpPr>
      <xdr:spPr>
        <a:xfrm>
          <a:off x="5305720" y="1120451"/>
          <a:ext cx="9866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</a:rPr>
            <a:t>n Aggregation</a:t>
          </a:r>
        </a:p>
      </xdr:txBody>
    </xdr:sp>
    <xdr:clientData/>
  </xdr:oneCellAnchor>
  <xdr:oneCellAnchor>
    <xdr:from>
      <xdr:col>6</xdr:col>
      <xdr:colOff>392824</xdr:colOff>
      <xdr:row>18</xdr:row>
      <xdr:rowOff>150649</xdr:rowOff>
    </xdr:from>
    <xdr:ext cx="218559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E323279-69DC-AA49-BFBC-7DB1CA49DE45}"/>
            </a:ext>
          </a:extLst>
        </xdr:cNvPr>
        <xdr:cNvSpPr txBox="1"/>
      </xdr:nvSpPr>
      <xdr:spPr>
        <a:xfrm>
          <a:off x="4076919" y="3796425"/>
          <a:ext cx="218559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</a:rPr>
            <a:t>All are Inheritance of drawStrategy</a:t>
          </a:r>
        </a:p>
      </xdr:txBody>
    </xdr:sp>
    <xdr:clientData/>
  </xdr:oneCellAnchor>
  <xdr:twoCellAnchor>
    <xdr:from>
      <xdr:col>5</xdr:col>
      <xdr:colOff>2416942</xdr:colOff>
      <xdr:row>15</xdr:row>
      <xdr:rowOff>145612</xdr:rowOff>
    </xdr:from>
    <xdr:to>
      <xdr:col>7</xdr:col>
      <xdr:colOff>155247</xdr:colOff>
      <xdr:row>18</xdr:row>
      <xdr:rowOff>6569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E33FEFC8-70C0-DF45-81B2-34F0957D4B94}"/>
            </a:ext>
          </a:extLst>
        </xdr:cNvPr>
        <xdr:cNvSpPr/>
      </xdr:nvSpPr>
      <xdr:spPr>
        <a:xfrm>
          <a:off x="3369442" y="3183759"/>
          <a:ext cx="1422400" cy="468586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drawStrategy</a:t>
          </a:r>
        </a:p>
      </xdr:txBody>
    </xdr:sp>
    <xdr:clientData/>
  </xdr:twoCellAnchor>
  <xdr:oneCellAnchor>
    <xdr:from>
      <xdr:col>8</xdr:col>
      <xdr:colOff>351220</xdr:colOff>
      <xdr:row>19</xdr:row>
      <xdr:rowOff>141233</xdr:rowOff>
    </xdr:from>
    <xdr:ext cx="239091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161A7C6-32E5-7B4E-A45F-29647182A3DD}"/>
            </a:ext>
          </a:extLst>
        </xdr:cNvPr>
        <xdr:cNvSpPr txBox="1"/>
      </xdr:nvSpPr>
      <xdr:spPr>
        <a:xfrm>
          <a:off x="8606220" y="3989552"/>
          <a:ext cx="239091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</a:rPr>
            <a:t>All are Inheritance of hitCheckStrategy</a:t>
          </a:r>
        </a:p>
      </xdr:txBody>
    </xdr:sp>
    <xdr:clientData/>
  </xdr:oneCellAnchor>
  <xdr:twoCellAnchor>
    <xdr:from>
      <xdr:col>6</xdr:col>
      <xdr:colOff>396547</xdr:colOff>
      <xdr:row>11</xdr:row>
      <xdr:rowOff>117803</xdr:rowOff>
    </xdr:from>
    <xdr:to>
      <xdr:col>7</xdr:col>
      <xdr:colOff>1172999</xdr:colOff>
      <xdr:row>15</xdr:row>
      <xdr:rowOff>145612</xdr:rowOff>
    </xdr:to>
    <xdr:cxnSp macro="">
      <xdr:nvCxnSpPr>
        <xdr:cNvPr id="47" name="Elbow Connector 46">
          <a:extLst>
            <a:ext uri="{FF2B5EF4-FFF2-40B4-BE49-F238E27FC236}">
              <a16:creationId xmlns:a16="http://schemas.microsoft.com/office/drawing/2014/main" id="{215F143F-A16F-654E-AA3A-394A389330EB}"/>
            </a:ext>
          </a:extLst>
        </xdr:cNvPr>
        <xdr:cNvCxnSpPr>
          <a:stCxn id="39" idx="0"/>
          <a:endCxn id="2" idx="2"/>
        </xdr:cNvCxnSpPr>
      </xdr:nvCxnSpPr>
      <xdr:spPr>
        <a:xfrm rot="5400000" flipH="1" flipV="1">
          <a:off x="4526127" y="1900292"/>
          <a:ext cx="837982" cy="1728952"/>
        </a:xfrm>
        <a:prstGeom prst="bentConnector3">
          <a:avLst>
            <a:gd name="adj1" fmla="val 50000"/>
          </a:avLst>
        </a:prstGeom>
        <a:ln w="63500">
          <a:solidFill>
            <a:schemeClr val="tx1"/>
          </a:solidFill>
          <a:tailEnd type="diamond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1172999</xdr:colOff>
      <xdr:row>11</xdr:row>
      <xdr:rowOff>117803</xdr:rowOff>
    </xdr:from>
    <xdr:to>
      <xdr:col>8</xdr:col>
      <xdr:colOff>374212</xdr:colOff>
      <xdr:row>15</xdr:row>
      <xdr:rowOff>156560</xdr:rowOff>
    </xdr:to>
    <xdr:cxnSp macro="">
      <xdr:nvCxnSpPr>
        <xdr:cNvPr id="53" name="Elbow Connector 52">
          <a:extLst>
            <a:ext uri="{FF2B5EF4-FFF2-40B4-BE49-F238E27FC236}">
              <a16:creationId xmlns:a16="http://schemas.microsoft.com/office/drawing/2014/main" id="{CDBD2459-CEA2-E841-A371-B7F2EE16380A}"/>
            </a:ext>
          </a:extLst>
        </xdr:cNvPr>
        <xdr:cNvCxnSpPr>
          <a:stCxn id="40" idx="0"/>
          <a:endCxn id="2" idx="2"/>
        </xdr:cNvCxnSpPr>
      </xdr:nvCxnSpPr>
      <xdr:spPr>
        <a:xfrm rot="16200000" flipV="1">
          <a:off x="6794938" y="1360433"/>
          <a:ext cx="848930" cy="2819618"/>
        </a:xfrm>
        <a:prstGeom prst="bentConnector3">
          <a:avLst>
            <a:gd name="adj1" fmla="val 50000"/>
          </a:avLst>
        </a:prstGeom>
        <a:ln w="63500">
          <a:solidFill>
            <a:schemeClr val="tx1"/>
          </a:solidFill>
          <a:tailEnd type="diamond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1215259</xdr:colOff>
      <xdr:row>12</xdr:row>
      <xdr:rowOff>43792</xdr:rowOff>
    </xdr:from>
    <xdr:ext cx="732573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FAAB6CC4-493F-5849-8F28-46416EB3011F}"/>
            </a:ext>
          </a:extLst>
        </xdr:cNvPr>
        <xdr:cNvSpPr txBox="1"/>
      </xdr:nvSpPr>
      <xdr:spPr>
        <a:xfrm>
          <a:off x="5851854" y="2474309"/>
          <a:ext cx="73257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</a:rPr>
            <a:t>1</a:t>
          </a:r>
          <a:r>
            <a:rPr lang="en-US" sz="1100" baseline="0">
              <a:solidFill>
                <a:schemeClr val="tx1"/>
              </a:solidFill>
            </a:rPr>
            <a:t> : 1 each</a:t>
          </a:r>
          <a:endParaRPr lang="en-US" sz="1100">
            <a:solidFill>
              <a:schemeClr val="tx1"/>
            </a:solidFill>
          </a:endParaRPr>
        </a:p>
      </xdr:txBody>
    </xdr:sp>
    <xdr:clientData/>
  </xdr:oneCellAnchor>
  <xdr:twoCellAnchor>
    <xdr:from>
      <xdr:col>5</xdr:col>
      <xdr:colOff>669565</xdr:colOff>
      <xdr:row>36</xdr:row>
      <xdr:rowOff>9164</xdr:rowOff>
    </xdr:from>
    <xdr:to>
      <xdr:col>6</xdr:col>
      <xdr:colOff>533793</xdr:colOff>
      <xdr:row>45</xdr:row>
      <xdr:rowOff>186703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0698349-E842-284B-9F9E-15B46D109C74}"/>
            </a:ext>
          </a:extLst>
        </xdr:cNvPr>
        <xdr:cNvSpPr/>
      </xdr:nvSpPr>
      <xdr:spPr>
        <a:xfrm>
          <a:off x="5448431" y="7314937"/>
          <a:ext cx="2594073" cy="2003982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p5.app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----------------------------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mouseClicked() : void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keyPressed() : void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windowResized() : void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draw() : void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preload() : void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setup() : void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fourier : FFT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vis : Visualisations</a:t>
          </a:r>
          <a:r>
            <a:rPr lang="en-US">
              <a:solidFill>
                <a:schemeClr val="tx1"/>
              </a:solidFill>
            </a:rPr>
            <a:t> </a:t>
          </a:r>
        </a:p>
        <a:p>
          <a:pPr algn="l"/>
          <a:r>
            <a:rPr lang="en-US" sz="1100">
              <a:solidFill>
                <a:schemeClr val="tx1"/>
              </a:solidFill>
            </a:rPr>
            <a:t>... (skipped the global</a:t>
          </a:r>
          <a:r>
            <a:rPr lang="en-US" sz="1100" baseline="0">
              <a:solidFill>
                <a:schemeClr val="tx1"/>
              </a:solidFill>
            </a:rPr>
            <a:t> variables)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728413</xdr:colOff>
      <xdr:row>13</xdr:row>
      <xdr:rowOff>19641</xdr:rowOff>
    </xdr:from>
    <xdr:to>
      <xdr:col>5</xdr:col>
      <xdr:colOff>1966602</xdr:colOff>
      <xdr:row>36</xdr:row>
      <xdr:rowOff>9164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FB2BF2F-E571-DB45-B65F-A4C4D6A22B4F}"/>
            </a:ext>
          </a:extLst>
        </xdr:cNvPr>
        <xdr:cNvCxnSpPr>
          <a:stCxn id="66" idx="0"/>
          <a:endCxn id="3" idx="2"/>
        </xdr:cNvCxnSpPr>
      </xdr:nvCxnSpPr>
      <xdr:spPr>
        <a:xfrm flipH="1" flipV="1">
          <a:off x="5507279" y="2657837"/>
          <a:ext cx="1238189" cy="4657100"/>
        </a:xfrm>
        <a:prstGeom prst="straightConnector1">
          <a:avLst/>
        </a:prstGeom>
        <a:ln w="63500">
          <a:solidFill>
            <a:schemeClr val="bg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533793</xdr:colOff>
      <xdr:row>7</xdr:row>
      <xdr:rowOff>139176</xdr:rowOff>
    </xdr:from>
    <xdr:to>
      <xdr:col>10</xdr:col>
      <xdr:colOff>711201</xdr:colOff>
      <xdr:row>40</xdr:row>
      <xdr:rowOff>199402</xdr:rowOff>
    </xdr:to>
    <xdr:cxnSp macro="">
      <xdr:nvCxnSpPr>
        <xdr:cNvPr id="73" name="Elbow Connector 72">
          <a:extLst>
            <a:ext uri="{FF2B5EF4-FFF2-40B4-BE49-F238E27FC236}">
              <a16:creationId xmlns:a16="http://schemas.microsoft.com/office/drawing/2014/main" id="{302A0402-B059-F073-BBC2-DE44E564E169}"/>
            </a:ext>
          </a:extLst>
        </xdr:cNvPr>
        <xdr:cNvCxnSpPr>
          <a:stCxn id="66" idx="3"/>
          <a:endCxn id="33" idx="1"/>
        </xdr:cNvCxnSpPr>
      </xdr:nvCxnSpPr>
      <xdr:spPr>
        <a:xfrm flipV="1">
          <a:off x="8042504" y="1559743"/>
          <a:ext cx="9329264" cy="6757185"/>
        </a:xfrm>
        <a:prstGeom prst="bentConnector3">
          <a:avLst>
            <a:gd name="adj1" fmla="val 91260"/>
          </a:avLst>
        </a:prstGeom>
        <a:ln w="63500">
          <a:solidFill>
            <a:schemeClr val="bg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676505</xdr:colOff>
      <xdr:row>12</xdr:row>
      <xdr:rowOff>168242</xdr:rowOff>
    </xdr:from>
    <xdr:to>
      <xdr:col>11</xdr:col>
      <xdr:colOff>641548</xdr:colOff>
      <xdr:row>15</xdr:row>
      <xdr:rowOff>19639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33F255-B59E-4E45-AE3F-CD3AF7714894}"/>
            </a:ext>
          </a:extLst>
        </xdr:cNvPr>
        <xdr:cNvSpPr/>
      </xdr:nvSpPr>
      <xdr:spPr>
        <a:xfrm>
          <a:off x="13513979" y="2603500"/>
          <a:ext cx="920816" cy="460211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Fourier</a:t>
          </a:r>
        </a:p>
      </xdr:txBody>
    </xdr:sp>
    <xdr:clientData/>
  </xdr:twoCellAnchor>
  <xdr:twoCellAnchor>
    <xdr:from>
      <xdr:col>6</xdr:col>
      <xdr:colOff>533793</xdr:colOff>
      <xdr:row>13</xdr:row>
      <xdr:rowOff>195410</xdr:rowOff>
    </xdr:from>
    <xdr:to>
      <xdr:col>10</xdr:col>
      <xdr:colOff>676505</xdr:colOff>
      <xdr:row>40</xdr:row>
      <xdr:rowOff>199402</xdr:rowOff>
    </xdr:to>
    <xdr:cxnSp macro="">
      <xdr:nvCxnSpPr>
        <xdr:cNvPr id="80" name="Elbow Connector 79">
          <a:extLst>
            <a:ext uri="{FF2B5EF4-FFF2-40B4-BE49-F238E27FC236}">
              <a16:creationId xmlns:a16="http://schemas.microsoft.com/office/drawing/2014/main" id="{0C6C678D-154A-5A47-ADFF-87DAB41CF980}"/>
            </a:ext>
          </a:extLst>
        </xdr:cNvPr>
        <xdr:cNvCxnSpPr>
          <a:stCxn id="66" idx="3"/>
          <a:endCxn id="79" idx="1"/>
        </xdr:cNvCxnSpPr>
      </xdr:nvCxnSpPr>
      <xdr:spPr>
        <a:xfrm flipV="1">
          <a:off x="8042504" y="2833606"/>
          <a:ext cx="9294568" cy="5483322"/>
        </a:xfrm>
        <a:prstGeom prst="bentConnector3">
          <a:avLst>
            <a:gd name="adj1" fmla="val 92330"/>
          </a:avLst>
        </a:prstGeom>
        <a:ln w="63500">
          <a:solidFill>
            <a:schemeClr val="bg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646915</xdr:colOff>
      <xdr:row>25</xdr:row>
      <xdr:rowOff>32340</xdr:rowOff>
    </xdr:from>
    <xdr:to>
      <xdr:col>12</xdr:col>
      <xdr:colOff>707011</xdr:colOff>
      <xdr:row>31</xdr:row>
      <xdr:rowOff>52372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8F2A36E7-576E-6C4B-9197-4F4A13B75288}"/>
            </a:ext>
          </a:extLst>
        </xdr:cNvPr>
        <xdr:cNvSpPr/>
      </xdr:nvSpPr>
      <xdr:spPr>
        <a:xfrm>
          <a:off x="17307482" y="5105794"/>
          <a:ext cx="1971642" cy="1237660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Visualisations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-------------------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visuals : visual[]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selectedVisual : visual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add(visual) : void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selectVisual(string) : void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1801557</xdr:colOff>
      <xdr:row>8</xdr:row>
      <xdr:rowOff>162657</xdr:rowOff>
    </xdr:from>
    <xdr:to>
      <xdr:col>10</xdr:col>
      <xdr:colOff>646915</xdr:colOff>
      <xdr:row>28</xdr:row>
      <xdr:rowOff>42356</xdr:rowOff>
    </xdr:to>
    <xdr:cxnSp macro="">
      <xdr:nvCxnSpPr>
        <xdr:cNvPr id="86" name="Elbow Connector 85">
          <a:extLst>
            <a:ext uri="{FF2B5EF4-FFF2-40B4-BE49-F238E27FC236}">
              <a16:creationId xmlns:a16="http://schemas.microsoft.com/office/drawing/2014/main" id="{C8C10888-BE1E-C64F-A5DE-4FFD0C074008}"/>
            </a:ext>
          </a:extLst>
        </xdr:cNvPr>
        <xdr:cNvCxnSpPr>
          <a:stCxn id="3" idx="3"/>
          <a:endCxn id="83" idx="1"/>
        </xdr:cNvCxnSpPr>
      </xdr:nvCxnSpPr>
      <xdr:spPr>
        <a:xfrm>
          <a:off x="6580423" y="1786162"/>
          <a:ext cx="10727059" cy="3938462"/>
        </a:xfrm>
        <a:prstGeom prst="bentConnector3">
          <a:avLst>
            <a:gd name="adj1" fmla="val 3986"/>
          </a:avLst>
        </a:prstGeom>
        <a:ln w="63500">
          <a:solidFill>
            <a:schemeClr val="bg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551383</xdr:colOff>
      <xdr:row>17</xdr:row>
      <xdr:rowOff>132072</xdr:rowOff>
    </xdr:from>
    <xdr:to>
      <xdr:col>4</xdr:col>
      <xdr:colOff>458247</xdr:colOff>
      <xdr:row>22</xdr:row>
      <xdr:rowOff>150567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3838EFDC-027E-104B-B2C0-06EFF5117F78}"/>
            </a:ext>
          </a:extLst>
        </xdr:cNvPr>
        <xdr:cNvSpPr/>
      </xdr:nvSpPr>
      <xdr:spPr>
        <a:xfrm>
          <a:off x="2462929" y="3582020"/>
          <a:ext cx="1818411" cy="1033186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Music_Player_Frame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----------------------------------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upFrame :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UpperFrame</a:t>
          </a:r>
          <a:endParaRPr lang="en-US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lowFrame : LowerFrame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draw() : void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504815</xdr:colOff>
      <xdr:row>8</xdr:row>
      <xdr:rowOff>162657</xdr:rowOff>
    </xdr:from>
    <xdr:to>
      <xdr:col>4</xdr:col>
      <xdr:colOff>611041</xdr:colOff>
      <xdr:row>17</xdr:row>
      <xdr:rowOff>132072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BB4166ED-46CF-0241-9CAC-BFC06D38C08C}"/>
            </a:ext>
          </a:extLst>
        </xdr:cNvPr>
        <xdr:cNvCxnSpPr>
          <a:stCxn id="3" idx="1"/>
          <a:endCxn id="84" idx="0"/>
        </xdr:cNvCxnSpPr>
      </xdr:nvCxnSpPr>
      <xdr:spPr>
        <a:xfrm flipH="1">
          <a:off x="3372135" y="1786162"/>
          <a:ext cx="1061999" cy="1795858"/>
        </a:xfrm>
        <a:prstGeom prst="straightConnector1">
          <a:avLst/>
        </a:prstGeom>
        <a:ln w="63500">
          <a:solidFill>
            <a:schemeClr val="tx1"/>
          </a:solidFill>
          <a:miter lim="800000"/>
          <a:headEnd type="diamond" w="lg" len="lg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510488</xdr:colOff>
      <xdr:row>12</xdr:row>
      <xdr:rowOff>97240</xdr:rowOff>
    </xdr:from>
    <xdr:ext cx="429156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C2333A84-1B3E-574E-BA67-37110ADF3FFC}"/>
            </a:ext>
          </a:extLst>
        </xdr:cNvPr>
        <xdr:cNvSpPr txBox="1"/>
      </xdr:nvSpPr>
      <xdr:spPr>
        <a:xfrm>
          <a:off x="3377808" y="2532498"/>
          <a:ext cx="4291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</a:rPr>
            <a:t>1 : 1</a:t>
          </a:r>
        </a:p>
      </xdr:txBody>
    </xdr:sp>
    <xdr:clientData/>
  </xdr:oneCellAnchor>
  <xdr:twoCellAnchor>
    <xdr:from>
      <xdr:col>0</xdr:col>
      <xdr:colOff>703783</xdr:colOff>
      <xdr:row>26</xdr:row>
      <xdr:rowOff>74986</xdr:rowOff>
    </xdr:from>
    <xdr:to>
      <xdr:col>2</xdr:col>
      <xdr:colOff>621908</xdr:colOff>
      <xdr:row>33</xdr:row>
      <xdr:rowOff>183299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94683DC0-C4C4-954D-B28D-120866E0C09F}"/>
            </a:ext>
          </a:extLst>
        </xdr:cNvPr>
        <xdr:cNvSpPr/>
      </xdr:nvSpPr>
      <xdr:spPr>
        <a:xfrm>
          <a:off x="703783" y="5351378"/>
          <a:ext cx="1829671" cy="1528880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UpperFrame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----------------------------------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frameWidth :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Integer</a:t>
          </a:r>
          <a:endParaRPr lang="en-US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frameHeight: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fileName : string</a:t>
          </a:r>
          <a:endParaRPr lang="en-US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draw() : void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drawLogo()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void</a:t>
          </a:r>
        </a:p>
        <a:p>
          <a:pPr algn="l"/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drawCornerButton () : void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50977</xdr:colOff>
      <xdr:row>26</xdr:row>
      <xdr:rowOff>57180</xdr:rowOff>
    </xdr:from>
    <xdr:to>
      <xdr:col>4</xdr:col>
      <xdr:colOff>924875</xdr:colOff>
      <xdr:row>32</xdr:row>
      <xdr:rowOff>91649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7EBA05D-9EE0-9E49-B0DB-F14672B03C80}"/>
            </a:ext>
          </a:extLst>
        </xdr:cNvPr>
        <xdr:cNvSpPr/>
      </xdr:nvSpPr>
      <xdr:spPr>
        <a:xfrm>
          <a:off x="2918297" y="5333572"/>
          <a:ext cx="1829671" cy="1252098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LowerFrame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----------------------------------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frameWidth :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Integer</a:t>
          </a:r>
          <a:endParaRPr lang="en-US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frameHeight: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timeDisplay : TimeDisplay</a:t>
          </a:r>
          <a:endParaRPr lang="en-US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draw() : void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883763</xdr:colOff>
      <xdr:row>38</xdr:row>
      <xdr:rowOff>52467</xdr:rowOff>
    </xdr:from>
    <xdr:to>
      <xdr:col>5</xdr:col>
      <xdr:colOff>0</xdr:colOff>
      <xdr:row>45</xdr:row>
      <xdr:rowOff>65463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457C46C2-90A4-C74D-9F0F-FD7F629D7C96}"/>
            </a:ext>
          </a:extLst>
        </xdr:cNvPr>
        <xdr:cNvSpPr/>
      </xdr:nvSpPr>
      <xdr:spPr>
        <a:xfrm>
          <a:off x="1839536" y="7764116"/>
          <a:ext cx="2939330" cy="1433563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TimeDisplay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----------------------------------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musicCurrentTime :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p5.sound currentTime()</a:t>
          </a:r>
          <a:endParaRPr lang="en-US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musicDuration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p5.sound duration()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yPos : Integer</a:t>
          </a:r>
          <a:endParaRPr lang="en-US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draw() : void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setY(integer) : void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662846</xdr:colOff>
      <xdr:row>22</xdr:row>
      <xdr:rowOff>150567</xdr:rowOff>
    </xdr:from>
    <xdr:to>
      <xdr:col>3</xdr:col>
      <xdr:colOff>504815</xdr:colOff>
      <xdr:row>26</xdr:row>
      <xdr:rowOff>74986</xdr:rowOff>
    </xdr:to>
    <xdr:cxnSp macro="">
      <xdr:nvCxnSpPr>
        <xdr:cNvPr id="104" name="Elbow Connector 103">
          <a:extLst>
            <a:ext uri="{FF2B5EF4-FFF2-40B4-BE49-F238E27FC236}">
              <a16:creationId xmlns:a16="http://schemas.microsoft.com/office/drawing/2014/main" id="{5E8B3EEE-32C4-9D44-B6DB-B69C6F2A954E}"/>
            </a:ext>
          </a:extLst>
        </xdr:cNvPr>
        <xdr:cNvCxnSpPr>
          <a:stCxn id="97" idx="0"/>
          <a:endCxn id="84" idx="2"/>
        </xdr:cNvCxnSpPr>
      </xdr:nvCxnSpPr>
      <xdr:spPr>
        <a:xfrm rot="5400000" flipH="1" flipV="1">
          <a:off x="2127291" y="4106534"/>
          <a:ext cx="736172" cy="1753516"/>
        </a:xfrm>
        <a:prstGeom prst="bentConnector3">
          <a:avLst>
            <a:gd name="adj1" fmla="val 50000"/>
          </a:avLst>
        </a:prstGeom>
        <a:ln w="63500">
          <a:solidFill>
            <a:schemeClr val="tx1"/>
          </a:solidFill>
          <a:tailEnd type="diamond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504815</xdr:colOff>
      <xdr:row>22</xdr:row>
      <xdr:rowOff>150567</xdr:rowOff>
    </xdr:from>
    <xdr:to>
      <xdr:col>4</xdr:col>
      <xdr:colOff>10040</xdr:colOff>
      <xdr:row>26</xdr:row>
      <xdr:rowOff>57180</xdr:rowOff>
    </xdr:to>
    <xdr:cxnSp macro="">
      <xdr:nvCxnSpPr>
        <xdr:cNvPr id="107" name="Elbow Connector 106">
          <a:extLst>
            <a:ext uri="{FF2B5EF4-FFF2-40B4-BE49-F238E27FC236}">
              <a16:creationId xmlns:a16="http://schemas.microsoft.com/office/drawing/2014/main" id="{92E4AAE7-3D6A-2F49-9BE2-E4B350CA0AC8}"/>
            </a:ext>
          </a:extLst>
        </xdr:cNvPr>
        <xdr:cNvCxnSpPr>
          <a:stCxn id="98" idx="0"/>
          <a:endCxn id="84" idx="2"/>
        </xdr:cNvCxnSpPr>
      </xdr:nvCxnSpPr>
      <xdr:spPr>
        <a:xfrm rot="16200000" flipV="1">
          <a:off x="3243451" y="4743890"/>
          <a:ext cx="718366" cy="460998"/>
        </a:xfrm>
        <a:prstGeom prst="bentConnector3">
          <a:avLst>
            <a:gd name="adj1" fmla="val 50000"/>
          </a:avLst>
        </a:prstGeom>
        <a:ln w="63500">
          <a:solidFill>
            <a:schemeClr val="tx1"/>
          </a:solidFill>
          <a:tailEnd type="diamond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441881</xdr:colOff>
      <xdr:row>32</xdr:row>
      <xdr:rowOff>91649</xdr:rowOff>
    </xdr:from>
    <xdr:to>
      <xdr:col>4</xdr:col>
      <xdr:colOff>10040</xdr:colOff>
      <xdr:row>38</xdr:row>
      <xdr:rowOff>52467</xdr:rowOff>
    </xdr:to>
    <xdr:cxnSp macro="">
      <xdr:nvCxnSpPr>
        <xdr:cNvPr id="110" name="Elbow Connector 109">
          <a:extLst>
            <a:ext uri="{FF2B5EF4-FFF2-40B4-BE49-F238E27FC236}">
              <a16:creationId xmlns:a16="http://schemas.microsoft.com/office/drawing/2014/main" id="{0F630BDF-A23B-D548-B6BC-C22D5B82D5B3}"/>
            </a:ext>
          </a:extLst>
        </xdr:cNvPr>
        <xdr:cNvCxnSpPr>
          <a:stCxn id="99" idx="0"/>
          <a:endCxn id="98" idx="2"/>
        </xdr:cNvCxnSpPr>
      </xdr:nvCxnSpPr>
      <xdr:spPr>
        <a:xfrm rot="5400000" flipH="1" flipV="1">
          <a:off x="2981944" y="6912927"/>
          <a:ext cx="1178446" cy="523932"/>
        </a:xfrm>
        <a:prstGeom prst="bentConnector3">
          <a:avLst>
            <a:gd name="adj1" fmla="val 50000"/>
          </a:avLst>
        </a:prstGeom>
        <a:ln w="63500">
          <a:solidFill>
            <a:schemeClr val="tx1"/>
          </a:solidFill>
          <a:tailEnd type="diamond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621777</xdr:colOff>
      <xdr:row>22</xdr:row>
      <xdr:rowOff>188889</xdr:rowOff>
    </xdr:from>
    <xdr:ext cx="429156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27CA6FAF-A9F7-3346-9479-32666380A5F5}"/>
            </a:ext>
          </a:extLst>
        </xdr:cNvPr>
        <xdr:cNvSpPr txBox="1"/>
      </xdr:nvSpPr>
      <xdr:spPr>
        <a:xfrm>
          <a:off x="1577550" y="4653528"/>
          <a:ext cx="4291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</a:rPr>
            <a:t>1 : 1</a:t>
          </a:r>
        </a:p>
      </xdr:txBody>
    </xdr:sp>
    <xdr:clientData/>
  </xdr:oneCellAnchor>
  <xdr:oneCellAnchor>
    <xdr:from>
      <xdr:col>4</xdr:col>
      <xdr:colOff>34434</xdr:colOff>
      <xdr:row>24</xdr:row>
      <xdr:rowOff>157991</xdr:rowOff>
    </xdr:from>
    <xdr:ext cx="429156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59784B5F-AAF5-BB44-A18A-16C25680A3A9}"/>
            </a:ext>
          </a:extLst>
        </xdr:cNvPr>
        <xdr:cNvSpPr txBox="1"/>
      </xdr:nvSpPr>
      <xdr:spPr>
        <a:xfrm>
          <a:off x="3857527" y="5028506"/>
          <a:ext cx="4291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</a:rPr>
            <a:t>1 : 1</a:t>
          </a:r>
        </a:p>
      </xdr:txBody>
    </xdr:sp>
    <xdr:clientData/>
  </xdr:oneCellAnchor>
  <xdr:oneCellAnchor>
    <xdr:from>
      <xdr:col>3</xdr:col>
      <xdr:colOff>481421</xdr:colOff>
      <xdr:row>33</xdr:row>
      <xdr:rowOff>192556</xdr:rowOff>
    </xdr:from>
    <xdr:ext cx="429156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F87E3CA0-B0A2-A84B-A83C-66CD25384211}"/>
            </a:ext>
          </a:extLst>
        </xdr:cNvPr>
        <xdr:cNvSpPr txBox="1"/>
      </xdr:nvSpPr>
      <xdr:spPr>
        <a:xfrm>
          <a:off x="3348741" y="6889515"/>
          <a:ext cx="4291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</a:rPr>
            <a:t>1 : 1</a:t>
          </a:r>
        </a:p>
      </xdr:txBody>
    </xdr:sp>
    <xdr:clientData/>
  </xdr:oneCellAnchor>
  <xdr:twoCellAnchor>
    <xdr:from>
      <xdr:col>12</xdr:col>
      <xdr:colOff>681480</xdr:colOff>
      <xdr:row>33</xdr:row>
      <xdr:rowOff>47266</xdr:rowOff>
    </xdr:from>
    <xdr:to>
      <xdr:col>13</xdr:col>
      <xdr:colOff>903402</xdr:colOff>
      <xdr:row>37</xdr:row>
      <xdr:rowOff>78557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DB16DE04-69B3-994D-9972-1B96C48BEFF0}"/>
            </a:ext>
          </a:extLst>
        </xdr:cNvPr>
        <xdr:cNvSpPr/>
      </xdr:nvSpPr>
      <xdr:spPr>
        <a:xfrm>
          <a:off x="19253593" y="6744225"/>
          <a:ext cx="1177696" cy="843043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WavePattern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--------------------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name : string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draw() : void</a:t>
          </a:r>
          <a:r>
            <a:rPr lang="en-US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10</xdr:col>
      <xdr:colOff>54857</xdr:colOff>
      <xdr:row>33</xdr:row>
      <xdr:rowOff>29460</xdr:rowOff>
    </xdr:from>
    <xdr:to>
      <xdr:col>12</xdr:col>
      <xdr:colOff>386236</xdr:colOff>
      <xdr:row>40</xdr:row>
      <xdr:rowOff>104742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0010AF8B-119F-3946-BD9D-AA912043C134}"/>
            </a:ext>
          </a:extLst>
        </xdr:cNvPr>
        <xdr:cNvSpPr/>
      </xdr:nvSpPr>
      <xdr:spPr>
        <a:xfrm>
          <a:off x="16715424" y="6726419"/>
          <a:ext cx="2242925" cy="1495849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Spectrum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spectrum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fourier.analyze()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name: string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draw() : void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drawMountain() : void</a:t>
          </a:r>
        </a:p>
        <a:p>
          <a:pPr algn="l"/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drawGradientBackground() : void</a:t>
          </a:r>
          <a:endParaRPr lang="en-US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setSpectrum() : void</a:t>
          </a: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2372282</xdr:colOff>
      <xdr:row>42</xdr:row>
      <xdr:rowOff>108016</xdr:rowOff>
    </xdr:from>
    <xdr:to>
      <xdr:col>10</xdr:col>
      <xdr:colOff>432062</xdr:colOff>
      <xdr:row>52</xdr:row>
      <xdr:rowOff>176751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C13B488E-FC47-1845-A4B6-F72904ABB06C}"/>
            </a:ext>
          </a:extLst>
        </xdr:cNvPr>
        <xdr:cNvSpPr/>
      </xdr:nvSpPr>
      <xdr:spPr>
        <a:xfrm>
          <a:off x="15412694" y="8631418"/>
          <a:ext cx="1679935" cy="2098117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</a:t>
          </a:r>
        </a:p>
        <a:p>
          <a:pPr algn="l"/>
          <a:r>
            <a:rPr lang="en-US" sz="1100">
              <a:solidFill>
                <a:schemeClr val="tx1"/>
              </a:solidFill>
            </a:rPr>
            <a:t>-</a:t>
          </a:r>
          <a:r>
            <a:rPr lang="en-US" sz="1100" baseline="0">
              <a:solidFill>
                <a:schemeClr val="tx1"/>
              </a:solidFill>
            </a:rPr>
            <a:t> origin : Vector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- center : Vector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- oppositeCorner : Vector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- starColor : color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- size : Integer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+ draw() :void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+ updatePos() : void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- updatePosX() : void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- updatePosY() : void</a:t>
          </a:r>
        </a:p>
      </xdr:txBody>
    </xdr:sp>
    <xdr:clientData/>
  </xdr:twoCellAnchor>
  <xdr:twoCellAnchor>
    <xdr:from>
      <xdr:col>15</xdr:col>
      <xdr:colOff>120323</xdr:colOff>
      <xdr:row>31</xdr:row>
      <xdr:rowOff>186574</xdr:rowOff>
    </xdr:from>
    <xdr:to>
      <xdr:col>16</xdr:col>
      <xdr:colOff>713557</xdr:colOff>
      <xdr:row>40</xdr:row>
      <xdr:rowOff>91649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D3312F75-EC18-B242-A871-3BA7A4DEEC75}"/>
            </a:ext>
          </a:extLst>
        </xdr:cNvPr>
        <xdr:cNvSpPr/>
      </xdr:nvSpPr>
      <xdr:spPr>
        <a:xfrm>
          <a:off x="21559756" y="6477656"/>
          <a:ext cx="1549007" cy="1731519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Needles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name: string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radius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energy : Integer</a:t>
          </a:r>
        </a:p>
        <a:p>
          <a:pPr algn="l"/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frequencies : string[]</a:t>
          </a:r>
        </a:p>
        <a:p>
          <a:pPr algn="l"/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rainbow : color[]</a:t>
          </a:r>
          <a:endParaRPr lang="en-US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draw() : void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ticks() : void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783342</xdr:colOff>
      <xdr:row>42</xdr:row>
      <xdr:rowOff>83663</xdr:rowOff>
    </xdr:from>
    <xdr:to>
      <xdr:col>12</xdr:col>
      <xdr:colOff>157114</xdr:colOff>
      <xdr:row>49</xdr:row>
      <xdr:rowOff>52371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43EA89E4-D9DB-BC43-9CEC-3AEDEEAA9C50}"/>
            </a:ext>
          </a:extLst>
        </xdr:cNvPr>
        <xdr:cNvSpPr/>
      </xdr:nvSpPr>
      <xdr:spPr>
        <a:xfrm>
          <a:off x="17443909" y="8607065"/>
          <a:ext cx="1285318" cy="1389275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Mountain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</a:t>
          </a:r>
        </a:p>
        <a:p>
          <a:pPr algn="l"/>
          <a:r>
            <a:rPr lang="en-US" sz="1100">
              <a:solidFill>
                <a:schemeClr val="tx1"/>
              </a:solidFill>
            </a:rPr>
            <a:t>- x</a:t>
          </a:r>
          <a:r>
            <a:rPr lang="en-US" sz="1100" baseline="0">
              <a:solidFill>
                <a:schemeClr val="tx1"/>
              </a:solidFill>
            </a:rPr>
            <a:t> : </a:t>
          </a:r>
          <a:r>
            <a:rPr lang="en-US" sz="1100">
              <a:solidFill>
                <a:schemeClr val="tx1"/>
              </a:solidFill>
            </a:rPr>
            <a:t>Integer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- y : Integer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- width : Integer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- height : Integer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+ draw()  : void</a:t>
          </a:r>
        </a:p>
      </xdr:txBody>
    </xdr:sp>
    <xdr:clientData/>
  </xdr:twoCellAnchor>
  <xdr:twoCellAnchor>
    <xdr:from>
      <xdr:col>11</xdr:col>
      <xdr:colOff>220548</xdr:colOff>
      <xdr:row>31</xdr:row>
      <xdr:rowOff>52372</xdr:rowOff>
    </xdr:from>
    <xdr:to>
      <xdr:col>11</xdr:col>
      <xdr:colOff>676964</xdr:colOff>
      <xdr:row>33</xdr:row>
      <xdr:rowOff>29460</xdr:rowOff>
    </xdr:to>
    <xdr:cxnSp macro="">
      <xdr:nvCxnSpPr>
        <xdr:cNvPr id="125" name="Elbow Connector 124">
          <a:extLst>
            <a:ext uri="{FF2B5EF4-FFF2-40B4-BE49-F238E27FC236}">
              <a16:creationId xmlns:a16="http://schemas.microsoft.com/office/drawing/2014/main" id="{54B7C25C-2ED0-AE4B-ABE4-F3B3990989AC}"/>
            </a:ext>
          </a:extLst>
        </xdr:cNvPr>
        <xdr:cNvCxnSpPr>
          <a:stCxn id="119" idx="0"/>
          <a:endCxn id="83" idx="2"/>
        </xdr:cNvCxnSpPr>
      </xdr:nvCxnSpPr>
      <xdr:spPr>
        <a:xfrm rot="5400000" flipH="1" flipV="1">
          <a:off x="17873613" y="6306729"/>
          <a:ext cx="382965" cy="456416"/>
        </a:xfrm>
        <a:prstGeom prst="bentConnector3">
          <a:avLst>
            <a:gd name="adj1" fmla="val 50000"/>
          </a:avLst>
        </a:prstGeom>
        <a:ln w="63500">
          <a:solidFill>
            <a:schemeClr val="tx1"/>
          </a:solidFill>
          <a:tailEnd type="diamond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3212249</xdr:colOff>
      <xdr:row>40</xdr:row>
      <xdr:rowOff>104743</xdr:rowOff>
    </xdr:from>
    <xdr:to>
      <xdr:col>11</xdr:col>
      <xdr:colOff>220546</xdr:colOff>
      <xdr:row>42</xdr:row>
      <xdr:rowOff>108017</xdr:rowOff>
    </xdr:to>
    <xdr:cxnSp macro="">
      <xdr:nvCxnSpPr>
        <xdr:cNvPr id="128" name="Elbow Connector 127">
          <a:extLst>
            <a:ext uri="{FF2B5EF4-FFF2-40B4-BE49-F238E27FC236}">
              <a16:creationId xmlns:a16="http://schemas.microsoft.com/office/drawing/2014/main" id="{7E036FD7-C450-CA4C-A5D9-9B91EDCA57BA}"/>
            </a:ext>
          </a:extLst>
        </xdr:cNvPr>
        <xdr:cNvCxnSpPr>
          <a:stCxn id="120" idx="0"/>
          <a:endCxn id="119" idx="2"/>
        </xdr:cNvCxnSpPr>
      </xdr:nvCxnSpPr>
      <xdr:spPr>
        <a:xfrm rot="5400000" flipH="1" flipV="1">
          <a:off x="16840199" y="7634731"/>
          <a:ext cx="409150" cy="1584225"/>
        </a:xfrm>
        <a:prstGeom prst="bentConnector3">
          <a:avLst>
            <a:gd name="adj1" fmla="val 50000"/>
          </a:avLst>
        </a:prstGeom>
        <a:ln w="63500">
          <a:solidFill>
            <a:schemeClr val="tx1"/>
          </a:solidFill>
          <a:tailEnd type="diamond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220548</xdr:colOff>
      <xdr:row>40</xdr:row>
      <xdr:rowOff>104742</xdr:rowOff>
    </xdr:from>
    <xdr:to>
      <xdr:col>11</xdr:col>
      <xdr:colOff>470229</xdr:colOff>
      <xdr:row>42</xdr:row>
      <xdr:rowOff>83663</xdr:rowOff>
    </xdr:to>
    <xdr:cxnSp macro="">
      <xdr:nvCxnSpPr>
        <xdr:cNvPr id="131" name="Elbow Connector 130">
          <a:extLst>
            <a:ext uri="{FF2B5EF4-FFF2-40B4-BE49-F238E27FC236}">
              <a16:creationId xmlns:a16="http://schemas.microsoft.com/office/drawing/2014/main" id="{E5E2FFDE-30A0-A049-82C7-54C47B7A613F}"/>
            </a:ext>
          </a:extLst>
        </xdr:cNvPr>
        <xdr:cNvCxnSpPr>
          <a:stCxn id="123" idx="0"/>
          <a:endCxn id="119" idx="2"/>
        </xdr:cNvCxnSpPr>
      </xdr:nvCxnSpPr>
      <xdr:spPr>
        <a:xfrm rot="16200000" flipV="1">
          <a:off x="17769330" y="8289826"/>
          <a:ext cx="384797" cy="249681"/>
        </a:xfrm>
        <a:prstGeom prst="bentConnector3">
          <a:avLst>
            <a:gd name="adj1" fmla="val 50000"/>
          </a:avLst>
        </a:prstGeom>
        <a:ln w="63500">
          <a:solidFill>
            <a:schemeClr val="tx1"/>
          </a:solidFill>
          <a:tailEnd type="diamond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542731</xdr:colOff>
      <xdr:row>31</xdr:row>
      <xdr:rowOff>150340</xdr:rowOff>
    </xdr:from>
    <xdr:ext cx="429156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6063F6B7-2EAC-5749-AE84-EA43F68A56AF}"/>
            </a:ext>
          </a:extLst>
        </xdr:cNvPr>
        <xdr:cNvSpPr txBox="1"/>
      </xdr:nvSpPr>
      <xdr:spPr>
        <a:xfrm>
          <a:off x="17203298" y="6441422"/>
          <a:ext cx="4291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</a:rPr>
            <a:t>1</a:t>
          </a:r>
          <a:r>
            <a:rPr lang="en-US" sz="1100" baseline="0">
              <a:solidFill>
                <a:schemeClr val="tx1"/>
              </a:solidFill>
            </a:rPr>
            <a:t> : 1</a:t>
          </a:r>
          <a:endParaRPr lang="en-US" sz="1100">
            <a:solidFill>
              <a:schemeClr val="tx1"/>
            </a:solidFill>
          </a:endParaRPr>
        </a:p>
      </xdr:txBody>
    </xdr:sp>
    <xdr:clientData/>
  </xdr:oneCellAnchor>
  <xdr:oneCellAnchor>
    <xdr:from>
      <xdr:col>11</xdr:col>
      <xdr:colOff>524924</xdr:colOff>
      <xdr:row>41</xdr:row>
      <xdr:rowOff>14698</xdr:rowOff>
    </xdr:from>
    <xdr:ext cx="429156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1C011DE5-79B7-064D-9A1E-3F1E1E7FB5E0}"/>
            </a:ext>
          </a:extLst>
        </xdr:cNvPr>
        <xdr:cNvSpPr txBox="1"/>
      </xdr:nvSpPr>
      <xdr:spPr>
        <a:xfrm>
          <a:off x="18141264" y="8335162"/>
          <a:ext cx="4291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</a:rPr>
            <a:t>1</a:t>
          </a:r>
          <a:r>
            <a:rPr lang="en-US" sz="1100" baseline="0">
              <a:solidFill>
                <a:schemeClr val="tx1"/>
              </a:solidFill>
            </a:rPr>
            <a:t> : 1</a:t>
          </a:r>
          <a:endParaRPr lang="en-US" sz="1100">
            <a:solidFill>
              <a:schemeClr val="tx1"/>
            </a:solidFill>
          </a:endParaRPr>
        </a:p>
      </xdr:txBody>
    </xdr:sp>
    <xdr:clientData/>
  </xdr:oneCellAnchor>
  <xdr:oneCellAnchor>
    <xdr:from>
      <xdr:col>9</xdr:col>
      <xdr:colOff>2621603</xdr:colOff>
      <xdr:row>40</xdr:row>
      <xdr:rowOff>199830</xdr:rowOff>
    </xdr:from>
    <xdr:ext cx="429156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751CE62F-194C-9543-934C-1A0C9F7941DF}"/>
            </a:ext>
          </a:extLst>
        </xdr:cNvPr>
        <xdr:cNvSpPr txBox="1"/>
      </xdr:nvSpPr>
      <xdr:spPr>
        <a:xfrm>
          <a:off x="15662015" y="8317356"/>
          <a:ext cx="4291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</a:rPr>
            <a:t>1</a:t>
          </a:r>
          <a:r>
            <a:rPr lang="en-US" sz="1100" baseline="0">
              <a:solidFill>
                <a:schemeClr val="tx1"/>
              </a:solidFill>
            </a:rPr>
            <a:t> : n</a:t>
          </a:r>
          <a:endParaRPr lang="en-US" sz="1100">
            <a:solidFill>
              <a:schemeClr val="tx1"/>
            </a:solidFill>
          </a:endParaRPr>
        </a:p>
      </xdr:txBody>
    </xdr:sp>
    <xdr:clientData/>
  </xdr:oneCellAnchor>
  <xdr:twoCellAnchor>
    <xdr:from>
      <xdr:col>12</xdr:col>
      <xdr:colOff>611302</xdr:colOff>
      <xdr:row>39</xdr:row>
      <xdr:rowOff>101470</xdr:rowOff>
    </xdr:from>
    <xdr:to>
      <xdr:col>14</xdr:col>
      <xdr:colOff>779020</xdr:colOff>
      <xdr:row>48</xdr:row>
      <xdr:rowOff>52371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F2C40E9C-520D-C045-BFAA-9E280558E965}"/>
            </a:ext>
          </a:extLst>
        </xdr:cNvPr>
        <xdr:cNvSpPr/>
      </xdr:nvSpPr>
      <xdr:spPr>
        <a:xfrm>
          <a:off x="19183415" y="8016058"/>
          <a:ext cx="2079265" cy="1777344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Particle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--------------------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position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Vector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velocity : Vector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acceleration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Float</a:t>
          </a:r>
        </a:p>
        <a:p>
          <a:pPr algn="l"/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color : color</a:t>
          </a:r>
          <a:endParaRPr lang="en-US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draw() : void</a:t>
          </a:r>
          <a:r>
            <a:rPr lang="en-US">
              <a:solidFill>
                <a:schemeClr val="tx1"/>
              </a:solidFill>
            </a:rPr>
            <a:t> </a:t>
          </a:r>
        </a:p>
        <a:p>
          <a:pPr algn="l"/>
          <a:r>
            <a:rPr lang="en-US">
              <a:solidFill>
                <a:schemeClr val="tx1"/>
              </a:solidFill>
            </a:rPr>
            <a:t>+ update(color,</a:t>
          </a:r>
          <a:r>
            <a:rPr lang="en-US" baseline="0">
              <a:solidFill>
                <a:schemeClr val="tx1"/>
              </a:solidFill>
            </a:rPr>
            <a:t> boolean</a:t>
          </a:r>
          <a:r>
            <a:rPr lang="en-US">
              <a:solidFill>
                <a:schemeClr val="tx1"/>
              </a:solidFill>
            </a:rPr>
            <a:t>)</a:t>
          </a:r>
          <a:r>
            <a:rPr lang="en-US" baseline="0">
              <a:solidFill>
                <a:schemeClr val="tx1"/>
              </a:solidFill>
            </a:rPr>
            <a:t> : void</a:t>
          </a:r>
        </a:p>
        <a:p>
          <a:pPr algn="l"/>
          <a:r>
            <a:rPr lang="en-US" baseline="0">
              <a:solidFill>
                <a:schemeClr val="tx1"/>
              </a:solidFill>
            </a:rPr>
            <a:t>+ isBoundry() : boolean</a:t>
          </a:r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314554</xdr:colOff>
      <xdr:row>37</xdr:row>
      <xdr:rowOff>78557</xdr:rowOff>
    </xdr:from>
    <xdr:to>
      <xdr:col>13</xdr:col>
      <xdr:colOff>695161</xdr:colOff>
      <xdr:row>39</xdr:row>
      <xdr:rowOff>101470</xdr:rowOff>
    </xdr:to>
    <xdr:cxnSp macro="">
      <xdr:nvCxnSpPr>
        <xdr:cNvPr id="139" name="Elbow Connector 138">
          <a:extLst>
            <a:ext uri="{FF2B5EF4-FFF2-40B4-BE49-F238E27FC236}">
              <a16:creationId xmlns:a16="http://schemas.microsoft.com/office/drawing/2014/main" id="{8F12CFDB-8A66-3448-BCD8-B7B6A652A146}"/>
            </a:ext>
          </a:extLst>
        </xdr:cNvPr>
        <xdr:cNvCxnSpPr>
          <a:stCxn id="137" idx="0"/>
          <a:endCxn id="118" idx="2"/>
        </xdr:cNvCxnSpPr>
      </xdr:nvCxnSpPr>
      <xdr:spPr>
        <a:xfrm rot="16200000" flipV="1">
          <a:off x="19818350" y="7611359"/>
          <a:ext cx="428790" cy="380607"/>
        </a:xfrm>
        <a:prstGeom prst="bentConnector3">
          <a:avLst>
            <a:gd name="adj1" fmla="val 50000"/>
          </a:avLst>
        </a:prstGeom>
        <a:ln w="63500">
          <a:solidFill>
            <a:schemeClr val="tx1"/>
          </a:solidFill>
          <a:tailEnd type="diamond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676964</xdr:colOff>
      <xdr:row>31</xdr:row>
      <xdr:rowOff>52372</xdr:rowOff>
    </xdr:from>
    <xdr:to>
      <xdr:col>13</xdr:col>
      <xdr:colOff>314555</xdr:colOff>
      <xdr:row>33</xdr:row>
      <xdr:rowOff>47266</xdr:rowOff>
    </xdr:to>
    <xdr:cxnSp macro="">
      <xdr:nvCxnSpPr>
        <xdr:cNvPr id="142" name="Elbow Connector 141">
          <a:extLst>
            <a:ext uri="{FF2B5EF4-FFF2-40B4-BE49-F238E27FC236}">
              <a16:creationId xmlns:a16="http://schemas.microsoft.com/office/drawing/2014/main" id="{229892DF-DE5F-154F-8B7E-1143FE5584A3}"/>
            </a:ext>
          </a:extLst>
        </xdr:cNvPr>
        <xdr:cNvCxnSpPr>
          <a:stCxn id="118" idx="0"/>
          <a:endCxn id="83" idx="2"/>
        </xdr:cNvCxnSpPr>
      </xdr:nvCxnSpPr>
      <xdr:spPr>
        <a:xfrm rot="16200000" flipV="1">
          <a:off x="18867487" y="5769271"/>
          <a:ext cx="400771" cy="1549138"/>
        </a:xfrm>
        <a:prstGeom prst="bentConnector3">
          <a:avLst>
            <a:gd name="adj1" fmla="val 50000"/>
          </a:avLst>
        </a:prstGeom>
        <a:ln w="63500">
          <a:solidFill>
            <a:schemeClr val="tx1"/>
          </a:solidFill>
          <a:tailEnd type="diamond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282708</xdr:colOff>
      <xdr:row>31</xdr:row>
      <xdr:rowOff>171812</xdr:rowOff>
    </xdr:from>
    <xdr:ext cx="429156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28B03019-D2AE-194B-9DAD-D3B18ED1E603}"/>
            </a:ext>
          </a:extLst>
        </xdr:cNvPr>
        <xdr:cNvSpPr txBox="1"/>
      </xdr:nvSpPr>
      <xdr:spPr>
        <a:xfrm>
          <a:off x="19810595" y="6462894"/>
          <a:ext cx="4291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</a:rPr>
            <a:t>1</a:t>
          </a:r>
          <a:r>
            <a:rPr lang="en-US" sz="1100" baseline="0">
              <a:solidFill>
                <a:schemeClr val="tx1"/>
              </a:solidFill>
            </a:rPr>
            <a:t> : 1</a:t>
          </a:r>
          <a:endParaRPr lang="en-US" sz="1100">
            <a:solidFill>
              <a:schemeClr val="tx1"/>
            </a:solidFill>
          </a:endParaRPr>
        </a:p>
      </xdr:txBody>
    </xdr:sp>
    <xdr:clientData/>
  </xdr:oneCellAnchor>
  <xdr:oneCellAnchor>
    <xdr:from>
      <xdr:col>13</xdr:col>
      <xdr:colOff>690417</xdr:colOff>
      <xdr:row>38</xdr:row>
      <xdr:rowOff>29625</xdr:rowOff>
    </xdr:from>
    <xdr:ext cx="429156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9692D093-05D4-9444-8A50-DEE88971977F}"/>
            </a:ext>
          </a:extLst>
        </xdr:cNvPr>
        <xdr:cNvSpPr txBox="1"/>
      </xdr:nvSpPr>
      <xdr:spPr>
        <a:xfrm>
          <a:off x="20218304" y="7741274"/>
          <a:ext cx="4291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</a:rPr>
            <a:t>1</a:t>
          </a:r>
          <a:r>
            <a:rPr lang="en-US" sz="1100" baseline="0">
              <a:solidFill>
                <a:schemeClr val="tx1"/>
              </a:solidFill>
            </a:rPr>
            <a:t> : n</a:t>
          </a:r>
          <a:endParaRPr lang="en-US" sz="1100">
            <a:solidFill>
              <a:schemeClr val="tx1"/>
            </a:solidFill>
          </a:endParaRPr>
        </a:p>
      </xdr:txBody>
    </xdr:sp>
    <xdr:clientData/>
  </xdr:oneCellAnchor>
  <xdr:twoCellAnchor>
    <xdr:from>
      <xdr:col>12</xdr:col>
      <xdr:colOff>707011</xdr:colOff>
      <xdr:row>28</xdr:row>
      <xdr:rowOff>42356</xdr:rowOff>
    </xdr:from>
    <xdr:to>
      <xdr:col>15</xdr:col>
      <xdr:colOff>894827</xdr:colOff>
      <xdr:row>31</xdr:row>
      <xdr:rowOff>186574</xdr:rowOff>
    </xdr:to>
    <xdr:cxnSp macro="">
      <xdr:nvCxnSpPr>
        <xdr:cNvPr id="153" name="Elbow Connector 152">
          <a:extLst>
            <a:ext uri="{FF2B5EF4-FFF2-40B4-BE49-F238E27FC236}">
              <a16:creationId xmlns:a16="http://schemas.microsoft.com/office/drawing/2014/main" id="{F76BAB8E-7A8E-4D48-BC1F-0938E4149F84}"/>
            </a:ext>
          </a:extLst>
        </xdr:cNvPr>
        <xdr:cNvCxnSpPr>
          <a:stCxn id="121" idx="0"/>
          <a:endCxn id="83" idx="3"/>
        </xdr:cNvCxnSpPr>
      </xdr:nvCxnSpPr>
      <xdr:spPr>
        <a:xfrm rot="16200000" flipV="1">
          <a:off x="20430176" y="4573572"/>
          <a:ext cx="753032" cy="3055136"/>
        </a:xfrm>
        <a:prstGeom prst="bentConnector2">
          <a:avLst/>
        </a:prstGeom>
        <a:ln w="63500">
          <a:solidFill>
            <a:schemeClr val="tx1"/>
          </a:solidFill>
          <a:tailEnd type="diamond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186346</xdr:colOff>
      <xdr:row>30</xdr:row>
      <xdr:rowOff>88542</xdr:rowOff>
    </xdr:from>
    <xdr:ext cx="429156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CA9A1AB0-8D7C-3941-BD1F-7C25750CA36E}"/>
            </a:ext>
          </a:extLst>
        </xdr:cNvPr>
        <xdr:cNvSpPr txBox="1"/>
      </xdr:nvSpPr>
      <xdr:spPr>
        <a:xfrm>
          <a:off x="21625779" y="6176686"/>
          <a:ext cx="4291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</a:rPr>
            <a:t>1</a:t>
          </a:r>
          <a:r>
            <a:rPr lang="en-US" sz="1100" baseline="0">
              <a:solidFill>
                <a:schemeClr val="tx1"/>
              </a:solidFill>
            </a:rPr>
            <a:t> : 1</a:t>
          </a:r>
          <a:endParaRPr lang="en-US" sz="1100">
            <a:solidFill>
              <a:schemeClr val="tx1"/>
            </a:solidFill>
          </a:endParaRPr>
        </a:p>
      </xdr:txBody>
    </xdr:sp>
    <xdr:clientData/>
  </xdr:oneCellAnchor>
  <xdr:twoCellAnchor>
    <xdr:from>
      <xdr:col>14</xdr:col>
      <xdr:colOff>724424</xdr:colOff>
      <xdr:row>17</xdr:row>
      <xdr:rowOff>189847</xdr:rowOff>
    </xdr:from>
    <xdr:to>
      <xdr:col>16</xdr:col>
      <xdr:colOff>418970</xdr:colOff>
      <xdr:row>25</xdr:row>
      <xdr:rowOff>170207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C5B60B24-E7B1-5D49-9EA9-E2A7D7CE6B8A}"/>
            </a:ext>
          </a:extLst>
        </xdr:cNvPr>
        <xdr:cNvSpPr/>
      </xdr:nvSpPr>
      <xdr:spPr>
        <a:xfrm>
          <a:off x="21208084" y="3639795"/>
          <a:ext cx="1606092" cy="1603866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Phyllotaxis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name: string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 : Integer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 : Integer</a:t>
          </a:r>
        </a:p>
        <a:p>
          <a:pPr algn="l"/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expansionAngle : float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draw() : void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clearDots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() : void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707011</xdr:colOff>
      <xdr:row>21</xdr:row>
      <xdr:rowOff>180027</xdr:rowOff>
    </xdr:from>
    <xdr:to>
      <xdr:col>14</xdr:col>
      <xdr:colOff>724424</xdr:colOff>
      <xdr:row>28</xdr:row>
      <xdr:rowOff>42356</xdr:rowOff>
    </xdr:to>
    <xdr:cxnSp macro="">
      <xdr:nvCxnSpPr>
        <xdr:cNvPr id="158" name="Elbow Connector 157">
          <a:extLst>
            <a:ext uri="{FF2B5EF4-FFF2-40B4-BE49-F238E27FC236}">
              <a16:creationId xmlns:a16="http://schemas.microsoft.com/office/drawing/2014/main" id="{A583B3DC-3EAF-F64B-9BBA-B3A65CDE9197}"/>
            </a:ext>
          </a:extLst>
        </xdr:cNvPr>
        <xdr:cNvCxnSpPr>
          <a:stCxn id="157" idx="1"/>
          <a:endCxn id="83" idx="3"/>
        </xdr:cNvCxnSpPr>
      </xdr:nvCxnSpPr>
      <xdr:spPr>
        <a:xfrm rot="10800000" flipV="1">
          <a:off x="19279124" y="4441728"/>
          <a:ext cx="1928960" cy="1282896"/>
        </a:xfrm>
        <a:prstGeom prst="bentConnector3">
          <a:avLst>
            <a:gd name="adj1" fmla="val 50000"/>
          </a:avLst>
        </a:prstGeom>
        <a:ln w="63500">
          <a:solidFill>
            <a:schemeClr val="tx1"/>
          </a:solidFill>
          <a:tailEnd type="diamond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229123</xdr:colOff>
      <xdr:row>20</xdr:row>
      <xdr:rowOff>78557</xdr:rowOff>
    </xdr:from>
    <xdr:ext cx="429156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EB7DCC66-75A7-F547-A831-1442999214DC}"/>
            </a:ext>
          </a:extLst>
        </xdr:cNvPr>
        <xdr:cNvSpPr txBox="1"/>
      </xdr:nvSpPr>
      <xdr:spPr>
        <a:xfrm>
          <a:off x="20712783" y="4137320"/>
          <a:ext cx="4291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</a:rPr>
            <a:t>1</a:t>
          </a:r>
          <a:r>
            <a:rPr lang="en-US" sz="1100" baseline="0">
              <a:solidFill>
                <a:schemeClr val="tx1"/>
              </a:solidFill>
            </a:rPr>
            <a:t> : 1</a:t>
          </a:r>
          <a:endParaRPr lang="en-US" sz="1100">
            <a:solidFill>
              <a:schemeClr val="tx1"/>
            </a:solidFill>
          </a:endParaRPr>
        </a:p>
      </xdr:txBody>
    </xdr:sp>
    <xdr:clientData/>
  </xdr:oneCellAnchor>
  <xdr:twoCellAnchor>
    <xdr:from>
      <xdr:col>7</xdr:col>
      <xdr:colOff>3281417</xdr:colOff>
      <xdr:row>15</xdr:row>
      <xdr:rowOff>156560</xdr:rowOff>
    </xdr:from>
    <xdr:to>
      <xdr:col>9</xdr:col>
      <xdr:colOff>132912</xdr:colOff>
      <xdr:row>18</xdr:row>
      <xdr:rowOff>93060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9C34D9E-6346-9C4A-A656-047BA34A94DB}"/>
            </a:ext>
          </a:extLst>
        </xdr:cNvPr>
        <xdr:cNvSpPr/>
      </xdr:nvSpPr>
      <xdr:spPr>
        <a:xfrm>
          <a:off x="7918012" y="3194707"/>
          <a:ext cx="1422400" cy="544129"/>
        </a:xfrm>
        <a:prstGeom prst="rect">
          <a:avLst/>
        </a:prstGeom>
        <a:solidFill>
          <a:schemeClr val="bg1"/>
        </a:solidFill>
        <a:ln w="63500">
          <a:solidFill>
            <a:schemeClr val="tx1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hitCheckStrategy</a:t>
          </a:r>
        </a:p>
      </xdr:txBody>
    </xdr:sp>
    <xdr:clientData/>
  </xdr:twoCellAnchor>
  <xdr:twoCellAnchor editAs="oneCell">
    <xdr:from>
      <xdr:col>0</xdr:col>
      <xdr:colOff>572541</xdr:colOff>
      <xdr:row>52</xdr:row>
      <xdr:rowOff>104099</xdr:rowOff>
    </xdr:from>
    <xdr:to>
      <xdr:col>16</xdr:col>
      <xdr:colOff>291283</xdr:colOff>
      <xdr:row>104</xdr:row>
      <xdr:rowOff>156148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4D6609D4-4EFC-1A9B-4514-BEA6E9726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541" y="10930329"/>
          <a:ext cx="22141529" cy="108782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4E5B-CE5C-424D-84BA-469985791E13}">
  <dimension ref="A1:AA33"/>
  <sheetViews>
    <sheetView tabSelected="1" zoomScaleNormal="100" workbookViewId="0">
      <pane xSplit="6" ySplit="6" topLeftCell="R15" activePane="bottomRight" state="frozen"/>
      <selection pane="topRight" activeCell="H37" sqref="H37:I37"/>
      <selection pane="bottomLeft" activeCell="H37" sqref="H37:I37"/>
      <selection pane="bottomRight" activeCell="C22" sqref="C22"/>
    </sheetView>
  </sheetViews>
  <sheetFormatPr baseColWidth="10" defaultColWidth="8.85546875" defaultRowHeight="16"/>
  <cols>
    <col min="1" max="1" width="5.7109375" style="5" customWidth="1"/>
    <col min="2" max="2" width="30.7109375" style="10" customWidth="1"/>
    <col min="3" max="3" width="90.7109375" style="10" customWidth="1"/>
    <col min="4" max="4" width="15.7109375" style="10" customWidth="1"/>
    <col min="5" max="5" width="10.7109375" style="10" customWidth="1"/>
    <col min="6" max="6" width="10.7109375" style="5" customWidth="1"/>
    <col min="7" max="27" width="3.28515625" style="5" customWidth="1"/>
    <col min="28" max="16384" width="8.85546875" style="10"/>
  </cols>
  <sheetData>
    <row r="1" spans="1:27" s="5" customFormat="1" ht="17" thickBot="1">
      <c r="A1" s="1"/>
      <c r="B1" s="2"/>
      <c r="C1" s="2"/>
      <c r="D1" s="2"/>
      <c r="E1" s="3"/>
      <c r="F1" s="4" t="s">
        <v>0</v>
      </c>
      <c r="G1" s="62">
        <v>2023</v>
      </c>
      <c r="H1" s="63"/>
      <c r="I1" s="63"/>
      <c r="J1" s="63"/>
      <c r="K1" s="63"/>
      <c r="L1" s="63"/>
      <c r="M1" s="63"/>
      <c r="N1" s="63"/>
      <c r="O1" s="63"/>
      <c r="P1" s="63"/>
      <c r="Q1" s="63">
        <v>2024</v>
      </c>
      <c r="R1" s="63"/>
      <c r="S1" s="63"/>
      <c r="T1" s="63"/>
      <c r="U1" s="63"/>
      <c r="V1" s="63"/>
      <c r="W1" s="63"/>
      <c r="X1" s="63"/>
      <c r="Y1" s="63"/>
      <c r="Z1" s="63"/>
      <c r="AA1" s="64"/>
    </row>
    <row r="2" spans="1:27" s="5" customFormat="1" ht="17" thickBot="1">
      <c r="A2" s="14"/>
      <c r="E2" s="15"/>
      <c r="F2" s="4" t="s">
        <v>7</v>
      </c>
      <c r="G2" s="21" t="str">
        <f>TEXT(G5,"MMM")</f>
        <v>Oct</v>
      </c>
      <c r="H2" s="22" t="str">
        <f>IF(MONTH(H5)=MONTH(G5),"",TEXT(H5,"MMM"))</f>
        <v/>
      </c>
      <c r="I2" s="22" t="str">
        <f t="shared" ref="I2:AA2" si="0">IF(MONTH(I5)=MONTH(H5),"",TEXT(I5,"MMM"))</f>
        <v>Nov</v>
      </c>
      <c r="J2" s="22" t="str">
        <f t="shared" si="0"/>
        <v/>
      </c>
      <c r="K2" s="22" t="str">
        <f t="shared" si="0"/>
        <v/>
      </c>
      <c r="L2" s="22" t="str">
        <f t="shared" si="0"/>
        <v/>
      </c>
      <c r="M2" s="22" t="str">
        <f t="shared" si="0"/>
        <v>Dec</v>
      </c>
      <c r="N2" s="22" t="str">
        <f t="shared" si="0"/>
        <v/>
      </c>
      <c r="O2" s="22" t="str">
        <f t="shared" si="0"/>
        <v/>
      </c>
      <c r="P2" s="22" t="str">
        <f t="shared" si="0"/>
        <v/>
      </c>
      <c r="Q2" s="22" t="str">
        <f t="shared" si="0"/>
        <v>Jan</v>
      </c>
      <c r="R2" s="22" t="str">
        <f t="shared" si="0"/>
        <v/>
      </c>
      <c r="S2" s="22" t="str">
        <f t="shared" si="0"/>
        <v/>
      </c>
      <c r="T2" s="22" t="str">
        <f t="shared" si="0"/>
        <v/>
      </c>
      <c r="U2" s="22" t="str">
        <f t="shared" si="0"/>
        <v/>
      </c>
      <c r="V2" s="22" t="str">
        <f t="shared" si="0"/>
        <v>Feb</v>
      </c>
      <c r="W2" s="22" t="str">
        <f t="shared" si="0"/>
        <v/>
      </c>
      <c r="X2" s="22" t="str">
        <f t="shared" si="0"/>
        <v/>
      </c>
      <c r="Y2" s="22" t="str">
        <f t="shared" si="0"/>
        <v/>
      </c>
      <c r="Z2" s="22" t="str">
        <f t="shared" si="0"/>
        <v>Mar</v>
      </c>
      <c r="AA2" s="22" t="str">
        <f t="shared" si="0"/>
        <v/>
      </c>
    </row>
    <row r="3" spans="1:27" s="5" customFormat="1" ht="17" thickBot="1">
      <c r="A3" s="14"/>
      <c r="E3" s="15"/>
      <c r="F3" s="4" t="s">
        <v>14</v>
      </c>
      <c r="G3" s="23">
        <f>WEEKNUM(G5,2)</f>
        <v>44</v>
      </c>
      <c r="H3" s="24">
        <f t="shared" ref="H3:AA3" si="1">WEEKNUM(H5,2)</f>
        <v>45</v>
      </c>
      <c r="I3" s="24">
        <f t="shared" si="1"/>
        <v>46</v>
      </c>
      <c r="J3" s="24">
        <f t="shared" si="1"/>
        <v>47</v>
      </c>
      <c r="K3" s="24">
        <f t="shared" si="1"/>
        <v>48</v>
      </c>
      <c r="L3" s="24">
        <f t="shared" si="1"/>
        <v>49</v>
      </c>
      <c r="M3" s="24">
        <f t="shared" si="1"/>
        <v>50</v>
      </c>
      <c r="N3" s="24">
        <f t="shared" si="1"/>
        <v>51</v>
      </c>
      <c r="O3" s="24">
        <f t="shared" si="1"/>
        <v>52</v>
      </c>
      <c r="P3" s="24">
        <f t="shared" si="1"/>
        <v>53</v>
      </c>
      <c r="Q3" s="24">
        <f t="shared" si="1"/>
        <v>1</v>
      </c>
      <c r="R3" s="24">
        <f t="shared" si="1"/>
        <v>2</v>
      </c>
      <c r="S3" s="24">
        <f t="shared" si="1"/>
        <v>3</v>
      </c>
      <c r="T3" s="24">
        <f t="shared" si="1"/>
        <v>4</v>
      </c>
      <c r="U3" s="24">
        <f t="shared" si="1"/>
        <v>5</v>
      </c>
      <c r="V3" s="24">
        <f t="shared" si="1"/>
        <v>6</v>
      </c>
      <c r="W3" s="24">
        <f t="shared" si="1"/>
        <v>7</v>
      </c>
      <c r="X3" s="24">
        <f t="shared" si="1"/>
        <v>8</v>
      </c>
      <c r="Y3" s="24">
        <f t="shared" si="1"/>
        <v>9</v>
      </c>
      <c r="Z3" s="24">
        <f t="shared" si="1"/>
        <v>10</v>
      </c>
      <c r="AA3" s="24">
        <f t="shared" si="1"/>
        <v>11</v>
      </c>
    </row>
    <row r="4" spans="1:27" s="5" customFormat="1" ht="17" thickBot="1">
      <c r="A4" s="6"/>
      <c r="B4" s="7"/>
      <c r="C4" s="7"/>
      <c r="D4" s="7"/>
      <c r="E4" s="8"/>
      <c r="F4" s="4" t="s">
        <v>6</v>
      </c>
      <c r="G4" s="23" t="str">
        <f>TEXT(G5,"DDD")</f>
        <v>Mon</v>
      </c>
      <c r="H4" s="24" t="str">
        <f t="shared" ref="H4:AA4" si="2">TEXT(H5,"DDD")</f>
        <v>Mon</v>
      </c>
      <c r="I4" s="24" t="str">
        <f t="shared" si="2"/>
        <v>Mon</v>
      </c>
      <c r="J4" s="24" t="str">
        <f t="shared" si="2"/>
        <v>Mon</v>
      </c>
      <c r="K4" s="24" t="str">
        <f t="shared" si="2"/>
        <v>Mon</v>
      </c>
      <c r="L4" s="24" t="str">
        <f t="shared" si="2"/>
        <v>Mon</v>
      </c>
      <c r="M4" s="24" t="str">
        <f t="shared" si="2"/>
        <v>Mon</v>
      </c>
      <c r="N4" s="24" t="str">
        <f t="shared" si="2"/>
        <v>Mon</v>
      </c>
      <c r="O4" s="24" t="str">
        <f t="shared" si="2"/>
        <v>Mon</v>
      </c>
      <c r="P4" s="24" t="str">
        <f t="shared" si="2"/>
        <v>Mon</v>
      </c>
      <c r="Q4" s="24" t="str">
        <f t="shared" si="2"/>
        <v>Mon</v>
      </c>
      <c r="R4" s="24" t="str">
        <f t="shared" si="2"/>
        <v>Mon</v>
      </c>
      <c r="S4" s="24" t="str">
        <f t="shared" si="2"/>
        <v>Mon</v>
      </c>
      <c r="T4" s="24" t="str">
        <f t="shared" si="2"/>
        <v>Mon</v>
      </c>
      <c r="U4" s="24" t="str">
        <f t="shared" si="2"/>
        <v>Mon</v>
      </c>
      <c r="V4" s="24" t="str">
        <f t="shared" si="2"/>
        <v>Mon</v>
      </c>
      <c r="W4" s="24" t="str">
        <f t="shared" si="2"/>
        <v>Mon</v>
      </c>
      <c r="X4" s="24" t="str">
        <f t="shared" si="2"/>
        <v>Mon</v>
      </c>
      <c r="Y4" s="24" t="str">
        <f t="shared" si="2"/>
        <v>Mon</v>
      </c>
      <c r="Z4" s="24" t="str">
        <f t="shared" si="2"/>
        <v>Mon</v>
      </c>
      <c r="AA4" s="24" t="str">
        <f t="shared" si="2"/>
        <v>Mon</v>
      </c>
    </row>
    <row r="5" spans="1:27" s="5" customFormat="1" ht="120" customHeight="1" thickBot="1">
      <c r="A5" s="4"/>
      <c r="B5" s="20"/>
      <c r="C5" s="28" t="s">
        <v>11</v>
      </c>
      <c r="D5" s="28"/>
      <c r="E5" s="9" t="s">
        <v>1</v>
      </c>
      <c r="F5" s="4" t="s">
        <v>2</v>
      </c>
      <c r="G5" s="25">
        <v>45222</v>
      </c>
      <c r="H5" s="26">
        <f>G5+7</f>
        <v>45229</v>
      </c>
      <c r="I5" s="26">
        <f t="shared" ref="I5:AA5" si="3">H5+7</f>
        <v>45236</v>
      </c>
      <c r="J5" s="26">
        <f t="shared" si="3"/>
        <v>45243</v>
      </c>
      <c r="K5" s="26">
        <f t="shared" si="3"/>
        <v>45250</v>
      </c>
      <c r="L5" s="26">
        <f t="shared" si="3"/>
        <v>45257</v>
      </c>
      <c r="M5" s="26">
        <f t="shared" si="3"/>
        <v>45264</v>
      </c>
      <c r="N5" s="26">
        <f t="shared" si="3"/>
        <v>45271</v>
      </c>
      <c r="O5" s="26">
        <f t="shared" si="3"/>
        <v>45278</v>
      </c>
      <c r="P5" s="26">
        <f t="shared" si="3"/>
        <v>45285</v>
      </c>
      <c r="Q5" s="26">
        <f t="shared" si="3"/>
        <v>45292</v>
      </c>
      <c r="R5" s="26">
        <f t="shared" si="3"/>
        <v>45299</v>
      </c>
      <c r="S5" s="26">
        <f t="shared" si="3"/>
        <v>45306</v>
      </c>
      <c r="T5" s="26">
        <f t="shared" si="3"/>
        <v>45313</v>
      </c>
      <c r="U5" s="26">
        <f t="shared" si="3"/>
        <v>45320</v>
      </c>
      <c r="V5" s="26">
        <f t="shared" si="3"/>
        <v>45327</v>
      </c>
      <c r="W5" s="26">
        <f t="shared" si="3"/>
        <v>45334</v>
      </c>
      <c r="X5" s="26">
        <f t="shared" si="3"/>
        <v>45341</v>
      </c>
      <c r="Y5" s="26">
        <f t="shared" si="3"/>
        <v>45348</v>
      </c>
      <c r="Z5" s="26">
        <f t="shared" si="3"/>
        <v>45355</v>
      </c>
      <c r="AA5" s="26">
        <f t="shared" si="3"/>
        <v>45362</v>
      </c>
    </row>
    <row r="6" spans="1:27" ht="17" thickBot="1">
      <c r="A6" s="16" t="s">
        <v>5</v>
      </c>
      <c r="B6" s="12" t="s">
        <v>4</v>
      </c>
      <c r="C6" s="36" t="s">
        <v>23</v>
      </c>
      <c r="D6" s="42" t="s">
        <v>32</v>
      </c>
      <c r="F6" s="11" t="s">
        <v>3</v>
      </c>
      <c r="G6" s="56" t="str">
        <f ca="1">IF(_xlfn.ISOWEEKNUM(G5)=_xlfn.ISOWEEKNUM(TODAY()),"▼","")</f>
        <v/>
      </c>
      <c r="H6" s="56" t="str">
        <f ca="1">IF(_xlfn.ISOWEEKNUM(H5)=_xlfn.ISOWEEKNUM(TODAY()),"▼","")</f>
        <v/>
      </c>
      <c r="I6" s="56" t="str">
        <f t="shared" ref="I6:AA6" ca="1" si="4">IF(_xlfn.ISOWEEKNUM(I5)=_xlfn.ISOWEEKNUM(TODAY()),"▼","")</f>
        <v/>
      </c>
      <c r="J6" s="56" t="str">
        <f t="shared" ca="1" si="4"/>
        <v/>
      </c>
      <c r="K6" s="56" t="str">
        <f t="shared" ca="1" si="4"/>
        <v/>
      </c>
      <c r="L6" s="56" t="str">
        <f t="shared" ca="1" si="4"/>
        <v/>
      </c>
      <c r="M6" s="56" t="str">
        <f t="shared" ca="1" si="4"/>
        <v/>
      </c>
      <c r="N6" s="56" t="str">
        <f t="shared" ca="1" si="4"/>
        <v/>
      </c>
      <c r="O6" s="56" t="str">
        <f t="shared" ca="1" si="4"/>
        <v/>
      </c>
      <c r="P6" s="56" t="str">
        <f t="shared" ca="1" si="4"/>
        <v/>
      </c>
      <c r="Q6" s="56" t="str">
        <f t="shared" ca="1" si="4"/>
        <v/>
      </c>
      <c r="R6" s="56" t="str">
        <f t="shared" ca="1" si="4"/>
        <v/>
      </c>
      <c r="S6" s="56" t="str">
        <f ca="1">IF(_xlfn.ISOWEEKNUM(S5)=_xlfn.ISOWEEKNUM(TODAY()),"▼","")</f>
        <v/>
      </c>
      <c r="T6" s="56" t="str">
        <f t="shared" ca="1" si="4"/>
        <v/>
      </c>
      <c r="U6" s="56" t="str">
        <f t="shared" ca="1" si="4"/>
        <v/>
      </c>
      <c r="V6" s="56" t="str">
        <f t="shared" ca="1" si="4"/>
        <v/>
      </c>
      <c r="W6" s="56" t="str">
        <f t="shared" ca="1" si="4"/>
        <v/>
      </c>
      <c r="X6" s="56" t="str">
        <f t="shared" ca="1" si="4"/>
        <v/>
      </c>
      <c r="Y6" s="56" t="str">
        <f t="shared" ca="1" si="4"/>
        <v/>
      </c>
      <c r="Z6" s="56" t="str">
        <f t="shared" ca="1" si="4"/>
        <v/>
      </c>
      <c r="AA6" s="59" t="str">
        <f t="shared" ca="1" si="4"/>
        <v>▼</v>
      </c>
    </row>
    <row r="7" spans="1:27" ht="21" thickBot="1">
      <c r="A7" s="18"/>
      <c r="B7" s="19" t="s">
        <v>9</v>
      </c>
      <c r="D7" s="45">
        <f>AVERAGE(D8:D14)</f>
        <v>1</v>
      </c>
      <c r="E7" s="37">
        <f>MIN(E8:E14)</f>
        <v>45222</v>
      </c>
      <c r="F7" s="38">
        <f>MAX(F8:F14)</f>
        <v>45261</v>
      </c>
      <c r="G7" s="57" t="str">
        <f t="shared" ref="G7:AA7" si="5">IF(AND(G$5&gt;=$E7,G$5&lt;=$F7)," ","")</f>
        <v xml:space="preserve"> </v>
      </c>
      <c r="H7" s="57" t="str">
        <f t="shared" si="5"/>
        <v xml:space="preserve"> </v>
      </c>
      <c r="I7" s="57" t="str">
        <f t="shared" si="5"/>
        <v xml:space="preserve"> </v>
      </c>
      <c r="J7" s="57" t="str">
        <f t="shared" si="5"/>
        <v xml:space="preserve"> </v>
      </c>
      <c r="K7" s="57" t="str">
        <f t="shared" si="5"/>
        <v xml:space="preserve"> </v>
      </c>
      <c r="L7" s="57" t="str">
        <f t="shared" si="5"/>
        <v xml:space="preserve"> </v>
      </c>
      <c r="M7" s="57" t="str">
        <f t="shared" si="5"/>
        <v/>
      </c>
      <c r="N7" s="57" t="str">
        <f t="shared" si="5"/>
        <v/>
      </c>
      <c r="O7" s="57" t="str">
        <f t="shared" si="5"/>
        <v/>
      </c>
      <c r="P7" s="57" t="str">
        <f t="shared" si="5"/>
        <v/>
      </c>
      <c r="Q7" s="57" t="str">
        <f t="shared" si="5"/>
        <v/>
      </c>
      <c r="R7" s="57" t="str">
        <f t="shared" si="5"/>
        <v/>
      </c>
      <c r="S7" s="57" t="str">
        <f t="shared" si="5"/>
        <v/>
      </c>
      <c r="T7" s="57" t="str">
        <f t="shared" si="5"/>
        <v/>
      </c>
      <c r="U7" s="57" t="str">
        <f t="shared" si="5"/>
        <v/>
      </c>
      <c r="V7" s="57" t="str">
        <f t="shared" si="5"/>
        <v/>
      </c>
      <c r="W7" s="57" t="str">
        <f t="shared" si="5"/>
        <v/>
      </c>
      <c r="X7" s="57" t="str">
        <f t="shared" si="5"/>
        <v/>
      </c>
      <c r="Y7" s="57" t="str">
        <f t="shared" si="5"/>
        <v/>
      </c>
      <c r="Z7" s="57" t="str">
        <f t="shared" si="5"/>
        <v/>
      </c>
      <c r="AA7" s="57" t="str">
        <f t="shared" si="5"/>
        <v/>
      </c>
    </row>
    <row r="8" spans="1:27" ht="35" thickBot="1">
      <c r="A8" s="29">
        <v>1</v>
      </c>
      <c r="B8" s="17" t="s">
        <v>8</v>
      </c>
      <c r="C8" s="60" t="s">
        <v>35</v>
      </c>
      <c r="D8" s="43">
        <v>1</v>
      </c>
      <c r="E8" s="13">
        <v>45222</v>
      </c>
      <c r="F8" s="27">
        <v>45225</v>
      </c>
      <c r="G8" s="57" t="str">
        <f t="shared" ref="G8:G33" si="6">IF(AND(G$5&gt;=$E8,G$5&lt;=$F8)," ","")</f>
        <v xml:space="preserve"> </v>
      </c>
      <c r="H8" s="57" t="str">
        <f t="shared" ref="H8:AA10" si="7">IF(AND(H$5&gt;=$E8,H$5&lt;=$F8)," ","")</f>
        <v/>
      </c>
      <c r="I8" s="57" t="str">
        <f t="shared" si="7"/>
        <v/>
      </c>
      <c r="J8" s="57" t="str">
        <f t="shared" si="7"/>
        <v/>
      </c>
      <c r="K8" s="57" t="str">
        <f t="shared" si="7"/>
        <v/>
      </c>
      <c r="L8" s="57" t="str">
        <f t="shared" si="7"/>
        <v/>
      </c>
      <c r="M8" s="57" t="str">
        <f t="shared" si="7"/>
        <v/>
      </c>
      <c r="N8" s="57" t="str">
        <f t="shared" si="7"/>
        <v/>
      </c>
      <c r="O8" s="57" t="str">
        <f t="shared" si="7"/>
        <v/>
      </c>
      <c r="P8" s="57" t="str">
        <f t="shared" si="7"/>
        <v/>
      </c>
      <c r="Q8" s="57" t="str">
        <f t="shared" si="7"/>
        <v/>
      </c>
      <c r="R8" s="57" t="str">
        <f t="shared" si="7"/>
        <v/>
      </c>
      <c r="S8" s="57" t="str">
        <f t="shared" si="7"/>
        <v/>
      </c>
      <c r="T8" s="57" t="str">
        <f t="shared" si="7"/>
        <v/>
      </c>
      <c r="U8" s="57" t="str">
        <f t="shared" si="7"/>
        <v/>
      </c>
      <c r="V8" s="57" t="str">
        <f t="shared" si="7"/>
        <v/>
      </c>
      <c r="W8" s="57" t="str">
        <f t="shared" si="7"/>
        <v/>
      </c>
      <c r="X8" s="57" t="str">
        <f t="shared" si="7"/>
        <v/>
      </c>
      <c r="Y8" s="57" t="str">
        <f t="shared" si="7"/>
        <v/>
      </c>
      <c r="Z8" s="57" t="str">
        <f t="shared" si="7"/>
        <v/>
      </c>
      <c r="AA8" s="57" t="str">
        <f t="shared" si="7"/>
        <v/>
      </c>
    </row>
    <row r="9" spans="1:27" ht="35" thickBot="1">
      <c r="A9" s="30"/>
      <c r="B9" s="31"/>
      <c r="C9" s="60" t="s">
        <v>34</v>
      </c>
      <c r="D9" s="44">
        <v>1</v>
      </c>
      <c r="E9" s="13">
        <v>45225</v>
      </c>
      <c r="F9" s="27">
        <v>45250</v>
      </c>
      <c r="G9" s="57" t="str">
        <f t="shared" si="6"/>
        <v/>
      </c>
      <c r="H9" s="57" t="str">
        <f t="shared" si="7"/>
        <v xml:space="preserve"> </v>
      </c>
      <c r="I9" s="57" t="str">
        <f t="shared" si="7"/>
        <v xml:space="preserve"> </v>
      </c>
      <c r="J9" s="57" t="str">
        <f t="shared" si="7"/>
        <v xml:space="preserve"> </v>
      </c>
      <c r="K9" s="57" t="str">
        <f t="shared" si="7"/>
        <v xml:space="preserve"> </v>
      </c>
      <c r="L9" s="57" t="str">
        <f t="shared" si="7"/>
        <v/>
      </c>
      <c r="M9" s="57" t="str">
        <f t="shared" si="7"/>
        <v/>
      </c>
      <c r="N9" s="57" t="str">
        <f t="shared" si="7"/>
        <v/>
      </c>
      <c r="O9" s="57" t="str">
        <f t="shared" si="7"/>
        <v/>
      </c>
      <c r="P9" s="57" t="str">
        <f t="shared" si="7"/>
        <v/>
      </c>
      <c r="Q9" s="57" t="str">
        <f t="shared" si="7"/>
        <v/>
      </c>
      <c r="R9" s="57" t="str">
        <f t="shared" si="7"/>
        <v/>
      </c>
      <c r="S9" s="57" t="str">
        <f t="shared" si="7"/>
        <v/>
      </c>
      <c r="T9" s="57" t="str">
        <f t="shared" si="7"/>
        <v/>
      </c>
      <c r="U9" s="57" t="str">
        <f t="shared" si="7"/>
        <v/>
      </c>
      <c r="V9" s="57" t="str">
        <f t="shared" si="7"/>
        <v/>
      </c>
      <c r="W9" s="57" t="str">
        <f t="shared" si="7"/>
        <v/>
      </c>
      <c r="X9" s="57" t="str">
        <f t="shared" si="7"/>
        <v/>
      </c>
      <c r="Y9" s="57" t="str">
        <f t="shared" si="7"/>
        <v/>
      </c>
      <c r="Z9" s="57" t="str">
        <f t="shared" si="7"/>
        <v/>
      </c>
      <c r="AA9" s="57" t="str">
        <f t="shared" si="7"/>
        <v/>
      </c>
    </row>
    <row r="10" spans="1:27" ht="35" thickBot="1">
      <c r="A10" s="29">
        <v>2</v>
      </c>
      <c r="B10" s="17" t="s">
        <v>10</v>
      </c>
      <c r="C10" s="60" t="s">
        <v>36</v>
      </c>
      <c r="D10" s="43">
        <v>1</v>
      </c>
      <c r="E10" s="13">
        <v>45225</v>
      </c>
      <c r="F10" s="27">
        <v>45235</v>
      </c>
      <c r="G10" s="57" t="str">
        <f t="shared" si="6"/>
        <v/>
      </c>
      <c r="H10" s="57" t="str">
        <f t="shared" si="7"/>
        <v xml:space="preserve"> </v>
      </c>
      <c r="I10" s="57" t="str">
        <f t="shared" si="7"/>
        <v/>
      </c>
      <c r="J10" s="57" t="str">
        <f t="shared" si="7"/>
        <v/>
      </c>
      <c r="K10" s="57" t="str">
        <f t="shared" si="7"/>
        <v/>
      </c>
      <c r="L10" s="57" t="str">
        <f t="shared" si="7"/>
        <v/>
      </c>
      <c r="M10" s="57" t="str">
        <f t="shared" si="7"/>
        <v/>
      </c>
      <c r="N10" s="57" t="str">
        <f t="shared" si="7"/>
        <v/>
      </c>
      <c r="O10" s="57" t="str">
        <f t="shared" si="7"/>
        <v/>
      </c>
      <c r="P10" s="57" t="str">
        <f t="shared" si="7"/>
        <v/>
      </c>
      <c r="Q10" s="57" t="str">
        <f t="shared" si="7"/>
        <v/>
      </c>
      <c r="R10" s="57" t="str">
        <f t="shared" si="7"/>
        <v/>
      </c>
      <c r="S10" s="57" t="str">
        <f t="shared" si="7"/>
        <v/>
      </c>
      <c r="T10" s="57" t="str">
        <f t="shared" si="7"/>
        <v/>
      </c>
      <c r="U10" s="57" t="str">
        <f t="shared" si="7"/>
        <v/>
      </c>
      <c r="V10" s="57" t="str">
        <f t="shared" si="7"/>
        <v/>
      </c>
      <c r="W10" s="57" t="str">
        <f t="shared" si="7"/>
        <v/>
      </c>
      <c r="X10" s="57" t="str">
        <f t="shared" si="7"/>
        <v/>
      </c>
      <c r="Y10" s="57" t="str">
        <f t="shared" si="7"/>
        <v/>
      </c>
      <c r="Z10" s="57" t="str">
        <f t="shared" si="7"/>
        <v/>
      </c>
      <c r="AA10" s="57" t="str">
        <f t="shared" si="7"/>
        <v/>
      </c>
    </row>
    <row r="11" spans="1:27" ht="35" thickBot="1">
      <c r="A11" s="32"/>
      <c r="B11" s="33"/>
      <c r="C11" s="60" t="s">
        <v>38</v>
      </c>
      <c r="D11" s="43">
        <v>1</v>
      </c>
      <c r="E11" s="13">
        <v>45236</v>
      </c>
      <c r="F11" s="27">
        <v>45242</v>
      </c>
      <c r="G11" s="57" t="str">
        <f t="shared" si="6"/>
        <v/>
      </c>
      <c r="H11" s="57" t="str">
        <f t="shared" ref="H11:Q14" si="8">IF(AND(H$5&gt;=$E11,H$5&lt;=$F11)," ","")</f>
        <v/>
      </c>
      <c r="I11" s="57" t="str">
        <f t="shared" si="8"/>
        <v xml:space="preserve"> </v>
      </c>
      <c r="J11" s="57" t="str">
        <f t="shared" si="8"/>
        <v/>
      </c>
      <c r="K11" s="57" t="str">
        <f t="shared" si="8"/>
        <v/>
      </c>
      <c r="L11" s="57" t="str">
        <f t="shared" si="8"/>
        <v/>
      </c>
      <c r="M11" s="57" t="str">
        <f t="shared" si="8"/>
        <v/>
      </c>
      <c r="N11" s="57" t="str">
        <f t="shared" si="8"/>
        <v/>
      </c>
      <c r="O11" s="57" t="str">
        <f t="shared" si="8"/>
        <v/>
      </c>
      <c r="P11" s="57" t="str">
        <f t="shared" si="8"/>
        <v/>
      </c>
      <c r="Q11" s="57" t="str">
        <f t="shared" si="8"/>
        <v/>
      </c>
      <c r="R11" s="57" t="str">
        <f t="shared" ref="R11:AA14" si="9">IF(AND(R$5&gt;=$E11,R$5&lt;=$F11)," ","")</f>
        <v/>
      </c>
      <c r="S11" s="57" t="str">
        <f t="shared" si="9"/>
        <v/>
      </c>
      <c r="T11" s="57" t="str">
        <f t="shared" si="9"/>
        <v/>
      </c>
      <c r="U11" s="57" t="str">
        <f t="shared" si="9"/>
        <v/>
      </c>
      <c r="V11" s="57" t="str">
        <f t="shared" si="9"/>
        <v/>
      </c>
      <c r="W11" s="57" t="str">
        <f t="shared" si="9"/>
        <v/>
      </c>
      <c r="X11" s="57" t="str">
        <f t="shared" si="9"/>
        <v/>
      </c>
      <c r="Y11" s="57" t="str">
        <f t="shared" si="9"/>
        <v/>
      </c>
      <c r="Z11" s="57" t="str">
        <f t="shared" si="9"/>
        <v/>
      </c>
      <c r="AA11" s="57" t="str">
        <f t="shared" si="9"/>
        <v/>
      </c>
    </row>
    <row r="12" spans="1:27" ht="35" thickBot="1">
      <c r="A12" s="32"/>
      <c r="B12" s="33"/>
      <c r="C12" s="60" t="s">
        <v>37</v>
      </c>
      <c r="D12" s="43">
        <v>1</v>
      </c>
      <c r="E12" s="13">
        <v>45242</v>
      </c>
      <c r="F12" s="27">
        <v>45249</v>
      </c>
      <c r="G12" s="57" t="str">
        <f t="shared" si="6"/>
        <v/>
      </c>
      <c r="H12" s="57" t="str">
        <f t="shared" si="8"/>
        <v/>
      </c>
      <c r="I12" s="57" t="str">
        <f t="shared" si="8"/>
        <v/>
      </c>
      <c r="J12" s="57" t="str">
        <f t="shared" si="8"/>
        <v xml:space="preserve"> </v>
      </c>
      <c r="K12" s="57" t="str">
        <f t="shared" si="8"/>
        <v/>
      </c>
      <c r="L12" s="57" t="str">
        <f t="shared" si="8"/>
        <v/>
      </c>
      <c r="M12" s="57" t="str">
        <f t="shared" si="8"/>
        <v/>
      </c>
      <c r="N12" s="57" t="str">
        <f t="shared" si="8"/>
        <v/>
      </c>
      <c r="O12" s="57" t="str">
        <f t="shared" si="8"/>
        <v/>
      </c>
      <c r="P12" s="57" t="str">
        <f t="shared" si="8"/>
        <v/>
      </c>
      <c r="Q12" s="57" t="str">
        <f t="shared" si="8"/>
        <v/>
      </c>
      <c r="R12" s="57" t="str">
        <f t="shared" si="9"/>
        <v/>
      </c>
      <c r="S12" s="57" t="str">
        <f t="shared" si="9"/>
        <v/>
      </c>
      <c r="T12" s="57" t="str">
        <f t="shared" si="9"/>
        <v/>
      </c>
      <c r="U12" s="57" t="str">
        <f t="shared" si="9"/>
        <v/>
      </c>
      <c r="V12" s="57" t="str">
        <f t="shared" si="9"/>
        <v/>
      </c>
      <c r="W12" s="57" t="str">
        <f t="shared" si="9"/>
        <v/>
      </c>
      <c r="X12" s="57" t="str">
        <f t="shared" si="9"/>
        <v/>
      </c>
      <c r="Y12" s="57" t="str">
        <f t="shared" si="9"/>
        <v/>
      </c>
      <c r="Z12" s="57" t="str">
        <f t="shared" si="9"/>
        <v/>
      </c>
      <c r="AA12" s="57" t="str">
        <f t="shared" si="9"/>
        <v/>
      </c>
    </row>
    <row r="13" spans="1:27" ht="35" thickBot="1">
      <c r="A13" s="29">
        <v>3</v>
      </c>
      <c r="B13" s="34" t="s">
        <v>12</v>
      </c>
      <c r="C13" s="60" t="s">
        <v>39</v>
      </c>
      <c r="D13" s="43">
        <v>1</v>
      </c>
      <c r="E13" s="13">
        <v>45250</v>
      </c>
      <c r="F13" s="27">
        <v>45256</v>
      </c>
      <c r="G13" s="57" t="str">
        <f t="shared" si="6"/>
        <v/>
      </c>
      <c r="H13" s="57" t="str">
        <f t="shared" si="8"/>
        <v/>
      </c>
      <c r="I13" s="57" t="str">
        <f t="shared" si="8"/>
        <v/>
      </c>
      <c r="J13" s="57" t="str">
        <f t="shared" si="8"/>
        <v/>
      </c>
      <c r="K13" s="57" t="str">
        <f t="shared" si="8"/>
        <v xml:space="preserve"> </v>
      </c>
      <c r="L13" s="57" t="str">
        <f t="shared" si="8"/>
        <v/>
      </c>
      <c r="M13" s="57" t="str">
        <f t="shared" si="8"/>
        <v/>
      </c>
      <c r="N13" s="57" t="str">
        <f t="shared" si="8"/>
        <v/>
      </c>
      <c r="O13" s="57" t="str">
        <f t="shared" si="8"/>
        <v/>
      </c>
      <c r="P13" s="57" t="str">
        <f t="shared" si="8"/>
        <v/>
      </c>
      <c r="Q13" s="57" t="str">
        <f t="shared" si="8"/>
        <v/>
      </c>
      <c r="R13" s="57" t="str">
        <f t="shared" si="9"/>
        <v/>
      </c>
      <c r="S13" s="57" t="str">
        <f t="shared" si="9"/>
        <v/>
      </c>
      <c r="T13" s="57" t="str">
        <f t="shared" si="9"/>
        <v/>
      </c>
      <c r="U13" s="57" t="str">
        <f t="shared" si="9"/>
        <v/>
      </c>
      <c r="V13" s="57" t="str">
        <f t="shared" si="9"/>
        <v/>
      </c>
      <c r="W13" s="57" t="str">
        <f t="shared" si="9"/>
        <v/>
      </c>
      <c r="X13" s="57" t="str">
        <f t="shared" si="9"/>
        <v/>
      </c>
      <c r="Y13" s="57" t="str">
        <f t="shared" si="9"/>
        <v/>
      </c>
      <c r="Z13" s="57" t="str">
        <f t="shared" si="9"/>
        <v/>
      </c>
      <c r="AA13" s="57" t="str">
        <f t="shared" si="9"/>
        <v/>
      </c>
    </row>
    <row r="14" spans="1:27" ht="35" thickBot="1">
      <c r="A14" s="30"/>
      <c r="B14" s="31"/>
      <c r="C14" s="61" t="s">
        <v>40</v>
      </c>
      <c r="D14" s="43">
        <v>1</v>
      </c>
      <c r="E14" s="13">
        <v>45250</v>
      </c>
      <c r="F14" s="27">
        <v>45261</v>
      </c>
      <c r="G14" s="57" t="str">
        <f t="shared" si="6"/>
        <v/>
      </c>
      <c r="H14" s="57" t="str">
        <f t="shared" si="8"/>
        <v/>
      </c>
      <c r="I14" s="57" t="str">
        <f t="shared" si="8"/>
        <v/>
      </c>
      <c r="J14" s="57" t="str">
        <f t="shared" si="8"/>
        <v/>
      </c>
      <c r="K14" s="57" t="str">
        <f t="shared" si="8"/>
        <v xml:space="preserve"> </v>
      </c>
      <c r="L14" s="57" t="str">
        <f t="shared" si="8"/>
        <v xml:space="preserve"> </v>
      </c>
      <c r="M14" s="57" t="str">
        <f t="shared" si="8"/>
        <v/>
      </c>
      <c r="N14" s="57" t="str">
        <f t="shared" si="8"/>
        <v/>
      </c>
      <c r="O14" s="57" t="str">
        <f t="shared" si="8"/>
        <v/>
      </c>
      <c r="P14" s="57" t="str">
        <f t="shared" si="8"/>
        <v/>
      </c>
      <c r="Q14" s="57" t="str">
        <f t="shared" si="8"/>
        <v/>
      </c>
      <c r="R14" s="57" t="str">
        <f t="shared" si="9"/>
        <v/>
      </c>
      <c r="S14" s="57" t="str">
        <f t="shared" si="9"/>
        <v/>
      </c>
      <c r="T14" s="57" t="str">
        <f t="shared" si="9"/>
        <v/>
      </c>
      <c r="U14" s="57" t="str">
        <f t="shared" si="9"/>
        <v/>
      </c>
      <c r="V14" s="57" t="str">
        <f t="shared" si="9"/>
        <v/>
      </c>
      <c r="W14" s="57" t="str">
        <f t="shared" si="9"/>
        <v/>
      </c>
      <c r="X14" s="57" t="str">
        <f t="shared" si="9"/>
        <v/>
      </c>
      <c r="Y14" s="57" t="str">
        <f t="shared" si="9"/>
        <v/>
      </c>
      <c r="Z14" s="57" t="str">
        <f t="shared" si="9"/>
        <v/>
      </c>
      <c r="AA14" s="57" t="str">
        <f t="shared" si="9"/>
        <v/>
      </c>
    </row>
    <row r="15" spans="1:27" ht="21" thickBot="1">
      <c r="A15" s="18"/>
      <c r="B15" s="19" t="s">
        <v>13</v>
      </c>
      <c r="D15" s="45">
        <f>AVERAGE(D16:D20)</f>
        <v>1</v>
      </c>
      <c r="E15" s="37">
        <f>MIN(E16:E20)</f>
        <v>45257</v>
      </c>
      <c r="F15" s="38">
        <f>MAX(F16:F20)</f>
        <v>45306</v>
      </c>
      <c r="G15" s="57" t="str">
        <f t="shared" si="6"/>
        <v/>
      </c>
      <c r="H15" s="57" t="str">
        <f t="shared" ref="H15:V15" si="10">IF(AND(H$5&gt;=$E15,H$5&lt;=$F15)," ","")</f>
        <v/>
      </c>
      <c r="I15" s="57" t="str">
        <f t="shared" si="10"/>
        <v/>
      </c>
      <c r="J15" s="57" t="str">
        <f t="shared" si="10"/>
        <v/>
      </c>
      <c r="K15" s="57" t="str">
        <f t="shared" si="10"/>
        <v/>
      </c>
      <c r="L15" s="57" t="str">
        <f t="shared" si="10"/>
        <v xml:space="preserve"> </v>
      </c>
      <c r="M15" s="57" t="str">
        <f t="shared" si="10"/>
        <v xml:space="preserve"> </v>
      </c>
      <c r="N15" s="57" t="str">
        <f t="shared" si="10"/>
        <v xml:space="preserve"> </v>
      </c>
      <c r="O15" s="57" t="str">
        <f t="shared" si="10"/>
        <v xml:space="preserve"> </v>
      </c>
      <c r="P15" s="57" t="str">
        <f t="shared" si="10"/>
        <v xml:space="preserve"> </v>
      </c>
      <c r="Q15" s="57" t="str">
        <f t="shared" si="10"/>
        <v xml:space="preserve"> </v>
      </c>
      <c r="R15" s="57" t="str">
        <f t="shared" si="10"/>
        <v xml:space="preserve"> </v>
      </c>
      <c r="S15" s="57" t="str">
        <f t="shared" si="10"/>
        <v xml:space="preserve"> </v>
      </c>
      <c r="T15" s="57" t="str">
        <f t="shared" si="10"/>
        <v/>
      </c>
      <c r="U15" s="57" t="str">
        <f t="shared" si="10"/>
        <v/>
      </c>
      <c r="V15" s="57" t="str">
        <f t="shared" si="10"/>
        <v/>
      </c>
      <c r="W15" s="57" t="str">
        <f t="shared" ref="W15:AA22" si="11">IF(AND(W$5&gt;=$E15,W$5&lt;=$F15)," ","")</f>
        <v/>
      </c>
      <c r="X15" s="57" t="str">
        <f t="shared" si="11"/>
        <v/>
      </c>
      <c r="Y15" s="57" t="str">
        <f t="shared" si="11"/>
        <v/>
      </c>
      <c r="Z15" s="57" t="str">
        <f t="shared" si="11"/>
        <v/>
      </c>
      <c r="AA15" s="57" t="str">
        <f t="shared" si="11"/>
        <v/>
      </c>
    </row>
    <row r="16" spans="1:27" ht="35" thickBot="1">
      <c r="A16" s="29">
        <v>4</v>
      </c>
      <c r="B16" s="17" t="s">
        <v>15</v>
      </c>
      <c r="C16" s="60" t="s">
        <v>41</v>
      </c>
      <c r="D16" s="43">
        <v>1</v>
      </c>
      <c r="E16" s="13">
        <v>45257</v>
      </c>
      <c r="F16" s="27">
        <v>45270</v>
      </c>
      <c r="G16" s="57" t="str">
        <f t="shared" si="6"/>
        <v/>
      </c>
      <c r="H16" s="57" t="str">
        <f t="shared" ref="H16:V20" si="12">IF(AND(H$5&gt;=$E16,H$5&lt;=$F16)," ","")</f>
        <v/>
      </c>
      <c r="I16" s="57" t="str">
        <f t="shared" si="12"/>
        <v/>
      </c>
      <c r="J16" s="57" t="str">
        <f t="shared" si="12"/>
        <v/>
      </c>
      <c r="K16" s="57" t="str">
        <f t="shared" si="12"/>
        <v/>
      </c>
      <c r="L16" s="57" t="str">
        <f t="shared" si="12"/>
        <v xml:space="preserve"> </v>
      </c>
      <c r="M16" s="57" t="str">
        <f t="shared" si="12"/>
        <v xml:space="preserve"> </v>
      </c>
      <c r="N16" s="57" t="str">
        <f t="shared" si="12"/>
        <v/>
      </c>
      <c r="O16" s="57" t="str">
        <f t="shared" si="12"/>
        <v/>
      </c>
      <c r="P16" s="57" t="str">
        <f t="shared" si="12"/>
        <v/>
      </c>
      <c r="Q16" s="57" t="str">
        <f t="shared" si="12"/>
        <v/>
      </c>
      <c r="R16" s="57" t="str">
        <f t="shared" si="12"/>
        <v/>
      </c>
      <c r="S16" s="57" t="str">
        <f t="shared" si="12"/>
        <v/>
      </c>
      <c r="T16" s="57" t="str">
        <f t="shared" si="12"/>
        <v/>
      </c>
      <c r="U16" s="57" t="str">
        <f t="shared" si="12"/>
        <v/>
      </c>
      <c r="V16" s="57" t="str">
        <f t="shared" si="12"/>
        <v/>
      </c>
      <c r="W16" s="57" t="str">
        <f t="shared" si="11"/>
        <v/>
      </c>
      <c r="X16" s="57" t="str">
        <f t="shared" si="11"/>
        <v/>
      </c>
      <c r="Y16" s="57" t="str">
        <f t="shared" si="11"/>
        <v/>
      </c>
      <c r="Z16" s="57" t="str">
        <f t="shared" si="11"/>
        <v/>
      </c>
      <c r="AA16" s="57" t="str">
        <f t="shared" si="11"/>
        <v/>
      </c>
    </row>
    <row r="17" spans="1:27" ht="35" thickBot="1">
      <c r="A17" s="30"/>
      <c r="B17" s="31"/>
      <c r="C17" s="61" t="s">
        <v>42</v>
      </c>
      <c r="D17" s="43">
        <v>1</v>
      </c>
      <c r="E17" s="13">
        <v>45264</v>
      </c>
      <c r="F17" s="27">
        <v>45277</v>
      </c>
      <c r="G17" s="57" t="str">
        <f t="shared" si="6"/>
        <v/>
      </c>
      <c r="H17" s="57" t="str">
        <f t="shared" si="12"/>
        <v/>
      </c>
      <c r="I17" s="57" t="str">
        <f t="shared" si="12"/>
        <v/>
      </c>
      <c r="J17" s="57" t="str">
        <f t="shared" si="12"/>
        <v/>
      </c>
      <c r="K17" s="57" t="str">
        <f t="shared" si="12"/>
        <v/>
      </c>
      <c r="L17" s="57" t="str">
        <f t="shared" si="12"/>
        <v/>
      </c>
      <c r="M17" s="57" t="str">
        <f t="shared" si="12"/>
        <v xml:space="preserve"> </v>
      </c>
      <c r="N17" s="57" t="str">
        <f t="shared" si="12"/>
        <v xml:space="preserve"> </v>
      </c>
      <c r="O17" s="57" t="str">
        <f t="shared" si="12"/>
        <v/>
      </c>
      <c r="P17" s="57" t="str">
        <f t="shared" si="12"/>
        <v/>
      </c>
      <c r="Q17" s="57" t="str">
        <f t="shared" si="12"/>
        <v/>
      </c>
      <c r="R17" s="57" t="str">
        <f t="shared" si="12"/>
        <v/>
      </c>
      <c r="S17" s="57" t="str">
        <f t="shared" si="12"/>
        <v/>
      </c>
      <c r="T17" s="57" t="str">
        <f t="shared" si="12"/>
        <v/>
      </c>
      <c r="U17" s="57" t="str">
        <f t="shared" si="12"/>
        <v/>
      </c>
      <c r="V17" s="57" t="str">
        <f t="shared" si="12"/>
        <v/>
      </c>
      <c r="W17" s="57" t="str">
        <f t="shared" si="11"/>
        <v/>
      </c>
      <c r="X17" s="57" t="str">
        <f t="shared" si="11"/>
        <v/>
      </c>
      <c r="Y17" s="57" t="str">
        <f t="shared" si="11"/>
        <v/>
      </c>
      <c r="Z17" s="57" t="str">
        <f t="shared" si="11"/>
        <v/>
      </c>
      <c r="AA17" s="57" t="str">
        <f t="shared" si="11"/>
        <v/>
      </c>
    </row>
    <row r="18" spans="1:27" ht="35" thickBot="1">
      <c r="A18" s="29">
        <v>5</v>
      </c>
      <c r="B18" s="17" t="s">
        <v>16</v>
      </c>
      <c r="C18" s="60" t="s">
        <v>43</v>
      </c>
      <c r="D18" s="44">
        <v>1</v>
      </c>
      <c r="E18" s="13">
        <v>45271</v>
      </c>
      <c r="F18" s="27">
        <v>45277</v>
      </c>
      <c r="G18" s="57" t="str">
        <f t="shared" si="6"/>
        <v/>
      </c>
      <c r="H18" s="57" t="str">
        <f t="shared" si="12"/>
        <v/>
      </c>
      <c r="I18" s="57" t="str">
        <f t="shared" si="12"/>
        <v/>
      </c>
      <c r="J18" s="57" t="str">
        <f t="shared" si="12"/>
        <v/>
      </c>
      <c r="K18" s="57" t="str">
        <f t="shared" si="12"/>
        <v/>
      </c>
      <c r="L18" s="57" t="str">
        <f t="shared" si="12"/>
        <v/>
      </c>
      <c r="M18" s="57" t="str">
        <f t="shared" si="12"/>
        <v/>
      </c>
      <c r="N18" s="57" t="str">
        <f t="shared" si="12"/>
        <v xml:space="preserve"> </v>
      </c>
      <c r="O18" s="57" t="str">
        <f t="shared" si="12"/>
        <v/>
      </c>
      <c r="P18" s="57" t="str">
        <f t="shared" si="12"/>
        <v/>
      </c>
      <c r="Q18" s="57" t="str">
        <f t="shared" si="12"/>
        <v/>
      </c>
      <c r="R18" s="57" t="str">
        <f t="shared" si="12"/>
        <v/>
      </c>
      <c r="S18" s="57" t="str">
        <f t="shared" si="12"/>
        <v/>
      </c>
      <c r="T18" s="57" t="str">
        <f t="shared" si="12"/>
        <v/>
      </c>
      <c r="U18" s="57" t="str">
        <f t="shared" si="12"/>
        <v/>
      </c>
      <c r="V18" s="57" t="str">
        <f t="shared" si="12"/>
        <v/>
      </c>
      <c r="W18" s="57" t="str">
        <f t="shared" si="11"/>
        <v/>
      </c>
      <c r="X18" s="57" t="str">
        <f t="shared" si="11"/>
        <v/>
      </c>
      <c r="Y18" s="57" t="str">
        <f t="shared" si="11"/>
        <v/>
      </c>
      <c r="Z18" s="57" t="str">
        <f t="shared" si="11"/>
        <v/>
      </c>
      <c r="AA18" s="57" t="str">
        <f t="shared" si="11"/>
        <v/>
      </c>
    </row>
    <row r="19" spans="1:27" ht="35" thickBot="1">
      <c r="A19" s="32"/>
      <c r="B19" s="33"/>
      <c r="C19" s="60" t="s">
        <v>44</v>
      </c>
      <c r="D19" s="43">
        <v>1</v>
      </c>
      <c r="E19" s="13">
        <v>45278</v>
      </c>
      <c r="F19" s="27">
        <v>45284</v>
      </c>
      <c r="G19" s="57" t="str">
        <f t="shared" si="6"/>
        <v/>
      </c>
      <c r="H19" s="57" t="str">
        <f t="shared" si="12"/>
        <v/>
      </c>
      <c r="I19" s="57" t="str">
        <f t="shared" si="12"/>
        <v/>
      </c>
      <c r="J19" s="57" t="str">
        <f t="shared" si="12"/>
        <v/>
      </c>
      <c r="K19" s="57" t="str">
        <f t="shared" si="12"/>
        <v/>
      </c>
      <c r="L19" s="57" t="str">
        <f t="shared" si="12"/>
        <v/>
      </c>
      <c r="M19" s="57" t="str">
        <f t="shared" si="12"/>
        <v/>
      </c>
      <c r="N19" s="57" t="str">
        <f t="shared" si="12"/>
        <v/>
      </c>
      <c r="O19" s="57" t="str">
        <f t="shared" si="12"/>
        <v xml:space="preserve"> </v>
      </c>
      <c r="P19" s="57" t="str">
        <f t="shared" si="12"/>
        <v/>
      </c>
      <c r="Q19" s="57" t="str">
        <f t="shared" si="12"/>
        <v/>
      </c>
      <c r="R19" s="57" t="str">
        <f t="shared" si="12"/>
        <v/>
      </c>
      <c r="S19" s="57" t="str">
        <f t="shared" si="12"/>
        <v/>
      </c>
      <c r="T19" s="57" t="str">
        <f t="shared" si="12"/>
        <v/>
      </c>
      <c r="U19" s="57" t="str">
        <f t="shared" si="12"/>
        <v/>
      </c>
      <c r="V19" s="57" t="str">
        <f t="shared" si="12"/>
        <v/>
      </c>
      <c r="W19" s="57" t="str">
        <f t="shared" si="11"/>
        <v/>
      </c>
      <c r="X19" s="57" t="str">
        <f t="shared" si="11"/>
        <v/>
      </c>
      <c r="Y19" s="57" t="str">
        <f t="shared" si="11"/>
        <v/>
      </c>
      <c r="Z19" s="57" t="str">
        <f t="shared" si="11"/>
        <v/>
      </c>
      <c r="AA19" s="57" t="str">
        <f t="shared" si="11"/>
        <v/>
      </c>
    </row>
    <row r="20" spans="1:27" ht="17" thickBot="1">
      <c r="A20" s="32"/>
      <c r="B20" s="33"/>
      <c r="C20" s="12" t="s">
        <v>17</v>
      </c>
      <c r="D20" s="43">
        <v>1</v>
      </c>
      <c r="E20" s="13">
        <v>45271</v>
      </c>
      <c r="F20" s="27">
        <v>45306</v>
      </c>
      <c r="G20" s="57" t="str">
        <f t="shared" si="6"/>
        <v/>
      </c>
      <c r="H20" s="57" t="str">
        <f t="shared" si="12"/>
        <v/>
      </c>
      <c r="I20" s="57" t="str">
        <f t="shared" si="12"/>
        <v/>
      </c>
      <c r="J20" s="57" t="str">
        <f t="shared" si="12"/>
        <v/>
      </c>
      <c r="K20" s="57" t="str">
        <f t="shared" si="12"/>
        <v/>
      </c>
      <c r="L20" s="57" t="str">
        <f t="shared" si="12"/>
        <v/>
      </c>
      <c r="M20" s="57" t="str">
        <f t="shared" si="12"/>
        <v/>
      </c>
      <c r="N20" s="57" t="str">
        <f t="shared" si="12"/>
        <v xml:space="preserve"> </v>
      </c>
      <c r="O20" s="57" t="str">
        <f t="shared" si="12"/>
        <v xml:space="preserve"> </v>
      </c>
      <c r="P20" s="57" t="str">
        <f t="shared" si="12"/>
        <v xml:space="preserve"> </v>
      </c>
      <c r="Q20" s="57" t="str">
        <f t="shared" si="12"/>
        <v xml:space="preserve"> </v>
      </c>
      <c r="R20" s="57" t="str">
        <f t="shared" si="12"/>
        <v xml:space="preserve"> </v>
      </c>
      <c r="S20" s="57" t="str">
        <f t="shared" si="12"/>
        <v xml:space="preserve"> </v>
      </c>
      <c r="T20" s="57" t="str">
        <f t="shared" si="12"/>
        <v/>
      </c>
      <c r="U20" s="57" t="str">
        <f t="shared" si="12"/>
        <v/>
      </c>
      <c r="V20" s="57" t="str">
        <f t="shared" si="12"/>
        <v/>
      </c>
      <c r="W20" s="57" t="str">
        <f t="shared" si="11"/>
        <v/>
      </c>
      <c r="X20" s="57" t="str">
        <f t="shared" si="11"/>
        <v/>
      </c>
      <c r="Y20" s="57" t="str">
        <f t="shared" si="11"/>
        <v/>
      </c>
      <c r="Z20" s="57" t="str">
        <f t="shared" si="11"/>
        <v/>
      </c>
      <c r="AA20" s="57" t="str">
        <f t="shared" si="11"/>
        <v/>
      </c>
    </row>
    <row r="21" spans="1:27" ht="21" thickBot="1">
      <c r="A21" s="18"/>
      <c r="B21" s="19" t="s">
        <v>33</v>
      </c>
      <c r="D21" s="45">
        <f>AVERAGE(D22:D29)</f>
        <v>1</v>
      </c>
      <c r="E21" s="37">
        <f>MIN(E22:E29)</f>
        <v>45257</v>
      </c>
      <c r="F21" s="38">
        <f>MAX(F22:F29)</f>
        <v>45347</v>
      </c>
      <c r="G21" s="57" t="str">
        <f t="shared" si="6"/>
        <v/>
      </c>
      <c r="H21" s="57" t="str">
        <f t="shared" ref="H21:V21" si="13">IF(AND(H$5&gt;=$E21,H$5&lt;=$F21)," ","")</f>
        <v/>
      </c>
      <c r="I21" s="57" t="str">
        <f t="shared" si="13"/>
        <v/>
      </c>
      <c r="J21" s="57" t="str">
        <f t="shared" si="13"/>
        <v/>
      </c>
      <c r="K21" s="57" t="str">
        <f t="shared" si="13"/>
        <v/>
      </c>
      <c r="L21" s="57" t="str">
        <f t="shared" si="13"/>
        <v xml:space="preserve"> </v>
      </c>
      <c r="M21" s="57" t="str">
        <f t="shared" si="13"/>
        <v xml:space="preserve"> </v>
      </c>
      <c r="N21" s="57" t="str">
        <f t="shared" si="13"/>
        <v xml:space="preserve"> </v>
      </c>
      <c r="O21" s="57" t="str">
        <f t="shared" si="13"/>
        <v xml:space="preserve"> </v>
      </c>
      <c r="P21" s="57" t="str">
        <f t="shared" si="13"/>
        <v xml:space="preserve"> </v>
      </c>
      <c r="Q21" s="57" t="str">
        <f t="shared" si="13"/>
        <v xml:space="preserve"> </v>
      </c>
      <c r="R21" s="57" t="str">
        <f t="shared" si="13"/>
        <v xml:space="preserve"> </v>
      </c>
      <c r="S21" s="57" t="str">
        <f t="shared" si="13"/>
        <v xml:space="preserve"> </v>
      </c>
      <c r="T21" s="57" t="str">
        <f t="shared" si="13"/>
        <v xml:space="preserve"> </v>
      </c>
      <c r="U21" s="57" t="str">
        <f t="shared" si="13"/>
        <v xml:space="preserve"> </v>
      </c>
      <c r="V21" s="57" t="str">
        <f t="shared" si="13"/>
        <v xml:space="preserve"> </v>
      </c>
      <c r="W21" s="57" t="str">
        <f t="shared" si="11"/>
        <v xml:space="preserve"> </v>
      </c>
      <c r="X21" s="57" t="str">
        <f t="shared" si="11"/>
        <v xml:space="preserve"> </v>
      </c>
      <c r="Y21" s="57" t="str">
        <f t="shared" si="11"/>
        <v/>
      </c>
      <c r="Z21" s="57" t="str">
        <f t="shared" si="11"/>
        <v/>
      </c>
      <c r="AA21" s="57" t="str">
        <f t="shared" si="11"/>
        <v/>
      </c>
    </row>
    <row r="22" spans="1:27" ht="35" thickBot="1">
      <c r="A22" s="29">
        <v>6</v>
      </c>
      <c r="B22" s="17" t="s">
        <v>18</v>
      </c>
      <c r="C22" s="60" t="s">
        <v>45</v>
      </c>
      <c r="D22" s="43">
        <v>1</v>
      </c>
      <c r="E22" s="13">
        <v>45257</v>
      </c>
      <c r="F22" s="27">
        <v>45263</v>
      </c>
      <c r="G22" s="57" t="str">
        <f t="shared" si="6"/>
        <v/>
      </c>
      <c r="H22" s="57" t="str">
        <f t="shared" ref="H22:V29" si="14">IF(AND(H$5&gt;=$E22,H$5&lt;=$F22)," ","")</f>
        <v/>
      </c>
      <c r="I22" s="57" t="str">
        <f t="shared" si="14"/>
        <v/>
      </c>
      <c r="J22" s="57" t="str">
        <f t="shared" si="14"/>
        <v/>
      </c>
      <c r="K22" s="57" t="str">
        <f t="shared" si="14"/>
        <v/>
      </c>
      <c r="L22" s="57" t="str">
        <f t="shared" si="14"/>
        <v xml:space="preserve"> </v>
      </c>
      <c r="M22" s="57" t="str">
        <f t="shared" si="14"/>
        <v/>
      </c>
      <c r="N22" s="57" t="str">
        <f t="shared" si="14"/>
        <v/>
      </c>
      <c r="O22" s="57" t="str">
        <f t="shared" si="14"/>
        <v/>
      </c>
      <c r="P22" s="57" t="str">
        <f t="shared" si="14"/>
        <v/>
      </c>
      <c r="Q22" s="57" t="str">
        <f t="shared" si="14"/>
        <v/>
      </c>
      <c r="R22" s="57" t="str">
        <f t="shared" si="14"/>
        <v/>
      </c>
      <c r="S22" s="57" t="str">
        <f t="shared" si="14"/>
        <v/>
      </c>
      <c r="T22" s="57" t="str">
        <f t="shared" si="14"/>
        <v/>
      </c>
      <c r="U22" s="57" t="str">
        <f t="shared" si="14"/>
        <v/>
      </c>
      <c r="V22" s="57" t="str">
        <f t="shared" si="14"/>
        <v/>
      </c>
      <c r="W22" s="57" t="str">
        <f t="shared" si="11"/>
        <v/>
      </c>
      <c r="X22" s="57" t="str">
        <f t="shared" si="11"/>
        <v/>
      </c>
      <c r="Y22" s="57" t="str">
        <f t="shared" si="11"/>
        <v/>
      </c>
      <c r="Z22" s="57" t="str">
        <f t="shared" si="11"/>
        <v/>
      </c>
      <c r="AA22" s="57" t="str">
        <f t="shared" si="11"/>
        <v/>
      </c>
    </row>
    <row r="23" spans="1:27" ht="35" thickBot="1">
      <c r="A23" s="30"/>
      <c r="B23" s="31"/>
      <c r="C23" s="60" t="s">
        <v>46</v>
      </c>
      <c r="D23" s="43">
        <v>1</v>
      </c>
      <c r="E23" s="13">
        <v>45264</v>
      </c>
      <c r="F23" s="27">
        <v>45270</v>
      </c>
      <c r="G23" s="57" t="str">
        <f t="shared" si="6"/>
        <v/>
      </c>
      <c r="H23" s="57" t="str">
        <f t="shared" si="14"/>
        <v/>
      </c>
      <c r="I23" s="57" t="str">
        <f t="shared" si="14"/>
        <v/>
      </c>
      <c r="J23" s="57" t="str">
        <f t="shared" si="14"/>
        <v/>
      </c>
      <c r="K23" s="57" t="str">
        <f t="shared" si="14"/>
        <v/>
      </c>
      <c r="L23" s="57" t="str">
        <f t="shared" si="14"/>
        <v/>
      </c>
      <c r="M23" s="57" t="str">
        <f t="shared" si="14"/>
        <v xml:space="preserve"> </v>
      </c>
      <c r="N23" s="57" t="str">
        <f t="shared" si="14"/>
        <v/>
      </c>
      <c r="O23" s="57" t="str">
        <f t="shared" si="14"/>
        <v/>
      </c>
      <c r="P23" s="57" t="str">
        <f t="shared" si="14"/>
        <v/>
      </c>
      <c r="Q23" s="57" t="str">
        <f t="shared" si="14"/>
        <v/>
      </c>
      <c r="R23" s="57" t="str">
        <f t="shared" si="14"/>
        <v/>
      </c>
      <c r="S23" s="57" t="str">
        <f t="shared" si="14"/>
        <v/>
      </c>
      <c r="T23" s="57" t="str">
        <f t="shared" si="14"/>
        <v/>
      </c>
      <c r="U23" s="57" t="str">
        <f t="shared" si="14"/>
        <v/>
      </c>
      <c r="V23" s="57" t="str">
        <f t="shared" si="14"/>
        <v/>
      </c>
      <c r="W23" s="57" t="str">
        <f t="shared" ref="W23:AA23" si="15">IF(AND(W$5&gt;=$E23,W$5&lt;=$F23)," ","")</f>
        <v/>
      </c>
      <c r="X23" s="57" t="str">
        <f t="shared" si="15"/>
        <v/>
      </c>
      <c r="Y23" s="57" t="str">
        <f t="shared" si="15"/>
        <v/>
      </c>
      <c r="Z23" s="57" t="str">
        <f t="shared" si="15"/>
        <v/>
      </c>
      <c r="AA23" s="57" t="str">
        <f t="shared" si="15"/>
        <v/>
      </c>
    </row>
    <row r="24" spans="1:27" ht="35" thickBot="1">
      <c r="A24" s="29">
        <v>7</v>
      </c>
      <c r="B24" s="17" t="s">
        <v>19</v>
      </c>
      <c r="C24" s="60" t="s">
        <v>47</v>
      </c>
      <c r="D24" s="43">
        <v>1</v>
      </c>
      <c r="E24" s="13">
        <v>45271</v>
      </c>
      <c r="F24" s="27">
        <v>45277</v>
      </c>
      <c r="G24" s="57" t="str">
        <f t="shared" si="6"/>
        <v/>
      </c>
      <c r="H24" s="57" t="str">
        <f t="shared" si="14"/>
        <v/>
      </c>
      <c r="I24" s="57" t="str">
        <f t="shared" si="14"/>
        <v/>
      </c>
      <c r="J24" s="57" t="str">
        <f t="shared" si="14"/>
        <v/>
      </c>
      <c r="K24" s="57" t="str">
        <f t="shared" si="14"/>
        <v/>
      </c>
      <c r="L24" s="57" t="str">
        <f t="shared" si="14"/>
        <v/>
      </c>
      <c r="M24" s="57" t="str">
        <f t="shared" si="14"/>
        <v/>
      </c>
      <c r="N24" s="57" t="str">
        <f t="shared" si="14"/>
        <v xml:space="preserve"> </v>
      </c>
      <c r="O24" s="57" t="str">
        <f t="shared" si="14"/>
        <v/>
      </c>
      <c r="P24" s="57" t="str">
        <f t="shared" si="14"/>
        <v/>
      </c>
      <c r="Q24" s="57" t="str">
        <f t="shared" si="14"/>
        <v/>
      </c>
      <c r="R24" s="57" t="str">
        <f t="shared" si="14"/>
        <v/>
      </c>
      <c r="S24" s="57" t="str">
        <f t="shared" si="14"/>
        <v/>
      </c>
      <c r="T24" s="57" t="str">
        <f t="shared" si="14"/>
        <v/>
      </c>
      <c r="U24" s="57" t="str">
        <f t="shared" si="14"/>
        <v/>
      </c>
      <c r="V24" s="57" t="str">
        <f t="shared" si="14"/>
        <v/>
      </c>
      <c r="W24" s="57" t="str">
        <f t="shared" ref="W24:AA29" si="16">IF(AND(W$5&gt;=$E24,W$5&lt;=$F24)," ","")</f>
        <v/>
      </c>
      <c r="X24" s="57" t="str">
        <f t="shared" si="16"/>
        <v/>
      </c>
      <c r="Y24" s="57" t="str">
        <f t="shared" si="16"/>
        <v/>
      </c>
      <c r="Z24" s="57" t="str">
        <f t="shared" si="16"/>
        <v/>
      </c>
      <c r="AA24" s="57" t="str">
        <f t="shared" si="16"/>
        <v/>
      </c>
    </row>
    <row r="25" spans="1:27" ht="35" thickBot="1">
      <c r="A25" s="32"/>
      <c r="B25" s="33"/>
      <c r="C25" s="61" t="s">
        <v>48</v>
      </c>
      <c r="D25" s="44">
        <v>1</v>
      </c>
      <c r="E25" s="13">
        <v>45278</v>
      </c>
      <c r="F25" s="27">
        <v>45312</v>
      </c>
      <c r="G25" s="57" t="str">
        <f t="shared" si="6"/>
        <v/>
      </c>
      <c r="H25" s="57" t="str">
        <f t="shared" si="14"/>
        <v/>
      </c>
      <c r="I25" s="57" t="str">
        <f t="shared" si="14"/>
        <v/>
      </c>
      <c r="J25" s="57" t="str">
        <f t="shared" si="14"/>
        <v/>
      </c>
      <c r="K25" s="57" t="str">
        <f t="shared" si="14"/>
        <v/>
      </c>
      <c r="L25" s="57" t="str">
        <f t="shared" si="14"/>
        <v/>
      </c>
      <c r="M25" s="57" t="str">
        <f t="shared" si="14"/>
        <v/>
      </c>
      <c r="N25" s="57" t="str">
        <f t="shared" si="14"/>
        <v/>
      </c>
      <c r="O25" s="57" t="str">
        <f t="shared" si="14"/>
        <v xml:space="preserve"> </v>
      </c>
      <c r="P25" s="57" t="str">
        <f t="shared" si="14"/>
        <v xml:space="preserve"> </v>
      </c>
      <c r="Q25" s="57" t="str">
        <f t="shared" si="14"/>
        <v xml:space="preserve"> </v>
      </c>
      <c r="R25" s="57" t="str">
        <f t="shared" si="14"/>
        <v xml:space="preserve"> </v>
      </c>
      <c r="S25" s="57" t="str">
        <f t="shared" si="14"/>
        <v xml:space="preserve"> </v>
      </c>
      <c r="T25" s="57" t="str">
        <f t="shared" si="14"/>
        <v/>
      </c>
      <c r="U25" s="57" t="str">
        <f t="shared" si="14"/>
        <v/>
      </c>
      <c r="V25" s="57" t="str">
        <f t="shared" si="14"/>
        <v/>
      </c>
      <c r="W25" s="57" t="str">
        <f t="shared" si="16"/>
        <v/>
      </c>
      <c r="X25" s="57" t="str">
        <f t="shared" si="16"/>
        <v/>
      </c>
      <c r="Y25" s="57" t="str">
        <f t="shared" si="16"/>
        <v/>
      </c>
      <c r="Z25" s="57" t="str">
        <f t="shared" si="16"/>
        <v/>
      </c>
      <c r="AA25" s="57" t="str">
        <f t="shared" si="16"/>
        <v/>
      </c>
    </row>
    <row r="26" spans="1:27" ht="17" thickBot="1">
      <c r="A26" s="29">
        <v>8</v>
      </c>
      <c r="B26" s="17" t="s">
        <v>20</v>
      </c>
      <c r="C26" s="12" t="s">
        <v>21</v>
      </c>
      <c r="D26" s="43">
        <v>1</v>
      </c>
      <c r="E26" s="13">
        <v>45313</v>
      </c>
      <c r="F26" s="27">
        <v>45319</v>
      </c>
      <c r="G26" s="57" t="str">
        <f t="shared" si="6"/>
        <v/>
      </c>
      <c r="H26" s="57" t="str">
        <f t="shared" si="14"/>
        <v/>
      </c>
      <c r="I26" s="57" t="str">
        <f t="shared" si="14"/>
        <v/>
      </c>
      <c r="J26" s="57" t="str">
        <f t="shared" si="14"/>
        <v/>
      </c>
      <c r="K26" s="57" t="str">
        <f t="shared" si="14"/>
        <v/>
      </c>
      <c r="L26" s="57" t="str">
        <f t="shared" si="14"/>
        <v/>
      </c>
      <c r="M26" s="57" t="str">
        <f t="shared" si="14"/>
        <v/>
      </c>
      <c r="N26" s="57" t="str">
        <f t="shared" si="14"/>
        <v/>
      </c>
      <c r="O26" s="57" t="str">
        <f t="shared" si="14"/>
        <v/>
      </c>
      <c r="P26" s="57" t="str">
        <f t="shared" si="14"/>
        <v/>
      </c>
      <c r="Q26" s="57" t="str">
        <f t="shared" si="14"/>
        <v/>
      </c>
      <c r="R26" s="57" t="str">
        <f t="shared" si="14"/>
        <v/>
      </c>
      <c r="S26" s="57" t="str">
        <f t="shared" si="14"/>
        <v/>
      </c>
      <c r="T26" s="57" t="str">
        <f t="shared" si="14"/>
        <v xml:space="preserve"> </v>
      </c>
      <c r="U26" s="57" t="str">
        <f t="shared" si="14"/>
        <v/>
      </c>
      <c r="V26" s="57" t="str">
        <f t="shared" si="14"/>
        <v/>
      </c>
      <c r="W26" s="57" t="str">
        <f t="shared" si="16"/>
        <v/>
      </c>
      <c r="X26" s="57" t="str">
        <f t="shared" si="16"/>
        <v/>
      </c>
      <c r="Y26" s="57" t="str">
        <f t="shared" si="16"/>
        <v/>
      </c>
      <c r="Z26" s="57" t="str">
        <f t="shared" si="16"/>
        <v/>
      </c>
      <c r="AA26" s="57" t="str">
        <f t="shared" si="16"/>
        <v/>
      </c>
    </row>
    <row r="27" spans="1:27" ht="17" thickBot="1">
      <c r="A27" s="32"/>
      <c r="B27" s="33"/>
      <c r="C27" s="12" t="s">
        <v>22</v>
      </c>
      <c r="D27" s="43">
        <v>1</v>
      </c>
      <c r="E27" s="40">
        <v>45300</v>
      </c>
      <c r="F27" s="27">
        <v>45326</v>
      </c>
      <c r="G27" s="57" t="str">
        <f t="shared" si="6"/>
        <v/>
      </c>
      <c r="H27" s="57" t="str">
        <f t="shared" si="14"/>
        <v/>
      </c>
      <c r="I27" s="57" t="str">
        <f t="shared" si="14"/>
        <v/>
      </c>
      <c r="J27" s="57" t="str">
        <f t="shared" si="14"/>
        <v/>
      </c>
      <c r="K27" s="57" t="str">
        <f t="shared" si="14"/>
        <v/>
      </c>
      <c r="L27" s="57" t="str">
        <f t="shared" si="14"/>
        <v/>
      </c>
      <c r="M27" s="57" t="str">
        <f t="shared" si="14"/>
        <v/>
      </c>
      <c r="N27" s="57" t="str">
        <f t="shared" si="14"/>
        <v/>
      </c>
      <c r="O27" s="57" t="str">
        <f t="shared" si="14"/>
        <v/>
      </c>
      <c r="P27" s="57" t="str">
        <f t="shared" si="14"/>
        <v/>
      </c>
      <c r="Q27" s="57" t="str">
        <f t="shared" si="14"/>
        <v/>
      </c>
      <c r="R27" s="57" t="str">
        <f t="shared" si="14"/>
        <v/>
      </c>
      <c r="S27" s="57" t="str">
        <f t="shared" si="14"/>
        <v xml:space="preserve"> </v>
      </c>
      <c r="T27" s="57" t="str">
        <f t="shared" si="14"/>
        <v xml:space="preserve"> </v>
      </c>
      <c r="U27" s="57" t="str">
        <f t="shared" si="14"/>
        <v xml:space="preserve"> </v>
      </c>
      <c r="V27" s="57" t="str">
        <f t="shared" si="14"/>
        <v/>
      </c>
      <c r="W27" s="57" t="str">
        <f t="shared" si="16"/>
        <v/>
      </c>
      <c r="X27" s="57" t="str">
        <f t="shared" si="16"/>
        <v/>
      </c>
      <c r="Y27" s="57" t="str">
        <f t="shared" si="16"/>
        <v/>
      </c>
      <c r="Z27" s="57" t="str">
        <f t="shared" si="16"/>
        <v/>
      </c>
      <c r="AA27" s="57" t="str">
        <f t="shared" si="16"/>
        <v/>
      </c>
    </row>
    <row r="28" spans="1:27" ht="17" thickBot="1">
      <c r="A28" s="29">
        <v>9</v>
      </c>
      <c r="B28" s="36" t="s">
        <v>25</v>
      </c>
      <c r="C28" s="39" t="s">
        <v>26</v>
      </c>
      <c r="D28" s="44">
        <v>1</v>
      </c>
      <c r="E28" s="13">
        <v>45327</v>
      </c>
      <c r="F28" s="27">
        <v>45340</v>
      </c>
      <c r="G28" s="57" t="str">
        <f t="shared" si="6"/>
        <v/>
      </c>
      <c r="H28" s="57" t="str">
        <f t="shared" si="14"/>
        <v/>
      </c>
      <c r="I28" s="57" t="str">
        <f t="shared" si="14"/>
        <v/>
      </c>
      <c r="J28" s="57" t="str">
        <f t="shared" si="14"/>
        <v/>
      </c>
      <c r="K28" s="57" t="str">
        <f t="shared" si="14"/>
        <v/>
      </c>
      <c r="L28" s="57" t="str">
        <f t="shared" si="14"/>
        <v/>
      </c>
      <c r="M28" s="57" t="str">
        <f t="shared" si="14"/>
        <v/>
      </c>
      <c r="N28" s="57" t="str">
        <f t="shared" si="14"/>
        <v/>
      </c>
      <c r="O28" s="57" t="str">
        <f t="shared" si="14"/>
        <v/>
      </c>
      <c r="P28" s="57" t="str">
        <f t="shared" si="14"/>
        <v/>
      </c>
      <c r="Q28" s="57" t="str">
        <f t="shared" si="14"/>
        <v/>
      </c>
      <c r="R28" s="57" t="str">
        <f t="shared" si="14"/>
        <v/>
      </c>
      <c r="S28" s="57" t="str">
        <f t="shared" si="14"/>
        <v/>
      </c>
      <c r="T28" s="57" t="str">
        <f t="shared" si="14"/>
        <v/>
      </c>
      <c r="U28" s="57" t="str">
        <f t="shared" si="14"/>
        <v/>
      </c>
      <c r="V28" s="57" t="str">
        <f t="shared" si="14"/>
        <v xml:space="preserve"> </v>
      </c>
      <c r="W28" s="57" t="str">
        <f t="shared" si="16"/>
        <v xml:space="preserve"> </v>
      </c>
      <c r="X28" s="57" t="str">
        <f t="shared" si="16"/>
        <v/>
      </c>
      <c r="Y28" s="57" t="str">
        <f t="shared" si="16"/>
        <v/>
      </c>
      <c r="Z28" s="57" t="str">
        <f t="shared" si="16"/>
        <v/>
      </c>
      <c r="AA28" s="57" t="str">
        <f t="shared" si="16"/>
        <v/>
      </c>
    </row>
    <row r="29" spans="1:27" ht="17" thickBot="1">
      <c r="A29" s="30"/>
      <c r="B29" s="31"/>
      <c r="C29" s="39" t="s">
        <v>27</v>
      </c>
      <c r="D29" s="44">
        <v>1</v>
      </c>
      <c r="E29" s="13">
        <v>45341</v>
      </c>
      <c r="F29" s="27">
        <v>45347</v>
      </c>
      <c r="G29" s="57" t="str">
        <f t="shared" si="6"/>
        <v/>
      </c>
      <c r="H29" s="57" t="str">
        <f t="shared" si="14"/>
        <v/>
      </c>
      <c r="I29" s="57" t="str">
        <f t="shared" si="14"/>
        <v/>
      </c>
      <c r="J29" s="57" t="str">
        <f t="shared" si="14"/>
        <v/>
      </c>
      <c r="K29" s="57" t="str">
        <f t="shared" si="14"/>
        <v/>
      </c>
      <c r="L29" s="57" t="str">
        <f t="shared" si="14"/>
        <v/>
      </c>
      <c r="M29" s="57" t="str">
        <f t="shared" si="14"/>
        <v/>
      </c>
      <c r="N29" s="57" t="str">
        <f t="shared" si="14"/>
        <v/>
      </c>
      <c r="O29" s="57" t="str">
        <f t="shared" si="14"/>
        <v/>
      </c>
      <c r="P29" s="57" t="str">
        <f t="shared" si="14"/>
        <v/>
      </c>
      <c r="Q29" s="57" t="str">
        <f t="shared" si="14"/>
        <v/>
      </c>
      <c r="R29" s="57" t="str">
        <f t="shared" si="14"/>
        <v/>
      </c>
      <c r="S29" s="57" t="str">
        <f t="shared" si="14"/>
        <v/>
      </c>
      <c r="T29" s="57" t="str">
        <f t="shared" si="14"/>
        <v/>
      </c>
      <c r="U29" s="57" t="str">
        <f t="shared" si="14"/>
        <v/>
      </c>
      <c r="V29" s="57" t="str">
        <f t="shared" si="14"/>
        <v/>
      </c>
      <c r="W29" s="57" t="str">
        <f t="shared" si="16"/>
        <v/>
      </c>
      <c r="X29" s="57" t="str">
        <f t="shared" si="16"/>
        <v xml:space="preserve"> </v>
      </c>
      <c r="Y29" s="57" t="str">
        <f t="shared" si="16"/>
        <v/>
      </c>
      <c r="Z29" s="57" t="str">
        <f t="shared" si="16"/>
        <v/>
      </c>
      <c r="AA29" s="57" t="str">
        <f t="shared" si="16"/>
        <v/>
      </c>
    </row>
    <row r="30" spans="1:27" ht="21" thickBot="1">
      <c r="A30" s="50"/>
      <c r="B30" s="51" t="s">
        <v>28</v>
      </c>
      <c r="C30" s="52"/>
      <c r="D30" s="53">
        <f>AVERAGE(D31:D33)</f>
        <v>1</v>
      </c>
      <c r="E30" s="54">
        <f>MIN(E31:E33)</f>
        <v>45341</v>
      </c>
      <c r="F30" s="55">
        <f>MAX(F31:F33)</f>
        <v>45362</v>
      </c>
      <c r="G30" s="57" t="str">
        <f t="shared" si="6"/>
        <v/>
      </c>
      <c r="H30" s="57" t="str">
        <f t="shared" ref="H30:AA30" si="17">IF(AND(H$5&gt;=$E30,H$5&lt;=$F30)," ","")</f>
        <v/>
      </c>
      <c r="I30" s="57" t="str">
        <f t="shared" si="17"/>
        <v/>
      </c>
      <c r="J30" s="57" t="str">
        <f t="shared" si="17"/>
        <v/>
      </c>
      <c r="K30" s="57" t="str">
        <f t="shared" si="17"/>
        <v/>
      </c>
      <c r="L30" s="57" t="str">
        <f t="shared" si="17"/>
        <v/>
      </c>
      <c r="M30" s="57" t="str">
        <f t="shared" si="17"/>
        <v/>
      </c>
      <c r="N30" s="57" t="str">
        <f t="shared" si="17"/>
        <v/>
      </c>
      <c r="O30" s="57" t="str">
        <f t="shared" si="17"/>
        <v/>
      </c>
      <c r="P30" s="57" t="str">
        <f t="shared" si="17"/>
        <v/>
      </c>
      <c r="Q30" s="57" t="str">
        <f t="shared" si="17"/>
        <v/>
      </c>
      <c r="R30" s="57" t="str">
        <f t="shared" si="17"/>
        <v/>
      </c>
      <c r="S30" s="57" t="str">
        <f t="shared" si="17"/>
        <v/>
      </c>
      <c r="T30" s="57" t="str">
        <f t="shared" si="17"/>
        <v/>
      </c>
      <c r="U30" s="57" t="str">
        <f t="shared" si="17"/>
        <v/>
      </c>
      <c r="V30" s="57" t="str">
        <f t="shared" si="17"/>
        <v/>
      </c>
      <c r="W30" s="57" t="str">
        <f t="shared" si="17"/>
        <v/>
      </c>
      <c r="X30" s="57" t="str">
        <f t="shared" si="17"/>
        <v xml:space="preserve"> </v>
      </c>
      <c r="Y30" s="57" t="str">
        <f t="shared" si="17"/>
        <v xml:space="preserve"> </v>
      </c>
      <c r="Z30" s="57" t="str">
        <f t="shared" si="17"/>
        <v xml:space="preserve"> </v>
      </c>
      <c r="AA30" s="57" t="str">
        <f t="shared" si="17"/>
        <v xml:space="preserve"> </v>
      </c>
    </row>
    <row r="31" spans="1:27" ht="17" thickBot="1">
      <c r="A31" s="32">
        <v>10</v>
      </c>
      <c r="B31" s="41" t="s">
        <v>24</v>
      </c>
      <c r="C31" s="46" t="s">
        <v>29</v>
      </c>
      <c r="D31" s="47">
        <v>1</v>
      </c>
      <c r="E31" s="48">
        <v>45341</v>
      </c>
      <c r="F31" s="49">
        <v>45347</v>
      </c>
      <c r="G31" s="57" t="str">
        <f t="shared" si="6"/>
        <v/>
      </c>
      <c r="H31" s="57" t="str">
        <f t="shared" ref="H31:Q33" si="18">IF(AND(H$5&gt;=$E31,H$5&lt;=$F31)," ","")</f>
        <v/>
      </c>
      <c r="I31" s="57" t="str">
        <f t="shared" si="18"/>
        <v/>
      </c>
      <c r="J31" s="57" t="str">
        <f t="shared" si="18"/>
        <v/>
      </c>
      <c r="K31" s="57" t="str">
        <f t="shared" si="18"/>
        <v/>
      </c>
      <c r="L31" s="57" t="str">
        <f t="shared" si="18"/>
        <v/>
      </c>
      <c r="M31" s="57" t="str">
        <f t="shared" si="18"/>
        <v/>
      </c>
      <c r="N31" s="57" t="str">
        <f t="shared" si="18"/>
        <v/>
      </c>
      <c r="O31" s="57" t="str">
        <f t="shared" si="18"/>
        <v/>
      </c>
      <c r="P31" s="57" t="str">
        <f t="shared" si="18"/>
        <v/>
      </c>
      <c r="Q31" s="57" t="str">
        <f t="shared" si="18"/>
        <v/>
      </c>
      <c r="R31" s="57" t="str">
        <f t="shared" ref="R31:AA33" si="19">IF(AND(R$5&gt;=$E31,R$5&lt;=$F31)," ","")</f>
        <v/>
      </c>
      <c r="S31" s="57" t="str">
        <f t="shared" si="19"/>
        <v/>
      </c>
      <c r="T31" s="57" t="str">
        <f t="shared" si="19"/>
        <v/>
      </c>
      <c r="U31" s="57" t="str">
        <f t="shared" si="19"/>
        <v/>
      </c>
      <c r="V31" s="57" t="str">
        <f t="shared" si="19"/>
        <v/>
      </c>
      <c r="W31" s="57" t="str">
        <f t="shared" si="19"/>
        <v/>
      </c>
      <c r="X31" s="57" t="str">
        <f t="shared" si="19"/>
        <v xml:space="preserve"> </v>
      </c>
      <c r="Y31" s="57" t="str">
        <f t="shared" si="19"/>
        <v/>
      </c>
      <c r="Z31" s="57" t="str">
        <f t="shared" si="19"/>
        <v/>
      </c>
      <c r="AA31" s="57" t="str">
        <f t="shared" si="19"/>
        <v/>
      </c>
    </row>
    <row r="32" spans="1:27" ht="17" thickBot="1">
      <c r="A32" s="32"/>
      <c r="B32" s="41"/>
      <c r="C32" s="39" t="s">
        <v>30</v>
      </c>
      <c r="D32" s="44">
        <v>1</v>
      </c>
      <c r="E32" s="13">
        <v>45348</v>
      </c>
      <c r="F32" s="27">
        <v>45354</v>
      </c>
      <c r="G32" s="57" t="str">
        <f t="shared" si="6"/>
        <v/>
      </c>
      <c r="H32" s="57" t="str">
        <f t="shared" si="18"/>
        <v/>
      </c>
      <c r="I32" s="57" t="str">
        <f t="shared" si="18"/>
        <v/>
      </c>
      <c r="J32" s="57" t="str">
        <f t="shared" si="18"/>
        <v/>
      </c>
      <c r="K32" s="57" t="str">
        <f t="shared" si="18"/>
        <v/>
      </c>
      <c r="L32" s="57" t="str">
        <f t="shared" si="18"/>
        <v/>
      </c>
      <c r="M32" s="57" t="str">
        <f t="shared" si="18"/>
        <v/>
      </c>
      <c r="N32" s="57" t="str">
        <f t="shared" si="18"/>
        <v/>
      </c>
      <c r="O32" s="57" t="str">
        <f t="shared" si="18"/>
        <v/>
      </c>
      <c r="P32" s="57" t="str">
        <f t="shared" si="18"/>
        <v/>
      </c>
      <c r="Q32" s="57" t="str">
        <f t="shared" si="18"/>
        <v/>
      </c>
      <c r="R32" s="57" t="str">
        <f t="shared" si="19"/>
        <v/>
      </c>
      <c r="S32" s="57" t="str">
        <f t="shared" si="19"/>
        <v/>
      </c>
      <c r="T32" s="57" t="str">
        <f t="shared" si="19"/>
        <v/>
      </c>
      <c r="U32" s="57" t="str">
        <f t="shared" si="19"/>
        <v/>
      </c>
      <c r="V32" s="57" t="str">
        <f t="shared" si="19"/>
        <v/>
      </c>
      <c r="W32" s="57" t="str">
        <f t="shared" si="19"/>
        <v/>
      </c>
      <c r="X32" s="57" t="str">
        <f t="shared" si="19"/>
        <v/>
      </c>
      <c r="Y32" s="57" t="str">
        <f t="shared" si="19"/>
        <v xml:space="preserve"> </v>
      </c>
      <c r="Z32" s="57" t="str">
        <f t="shared" si="19"/>
        <v/>
      </c>
      <c r="AA32" s="57" t="str">
        <f t="shared" si="19"/>
        <v/>
      </c>
    </row>
    <row r="33" spans="1:27" ht="17" thickBot="1">
      <c r="A33" s="30"/>
      <c r="B33" s="31"/>
      <c r="C33" s="39" t="s">
        <v>31</v>
      </c>
      <c r="D33" s="44">
        <v>1</v>
      </c>
      <c r="E33" s="13">
        <v>45355</v>
      </c>
      <c r="F33" s="27">
        <v>45362</v>
      </c>
      <c r="G33" s="58" t="str">
        <f t="shared" si="6"/>
        <v/>
      </c>
      <c r="H33" s="58" t="str">
        <f t="shared" si="18"/>
        <v/>
      </c>
      <c r="I33" s="58" t="str">
        <f t="shared" si="18"/>
        <v/>
      </c>
      <c r="J33" s="58" t="str">
        <f t="shared" si="18"/>
        <v/>
      </c>
      <c r="K33" s="58" t="str">
        <f t="shared" si="18"/>
        <v/>
      </c>
      <c r="L33" s="58" t="str">
        <f t="shared" si="18"/>
        <v/>
      </c>
      <c r="M33" s="58" t="str">
        <f t="shared" si="18"/>
        <v/>
      </c>
      <c r="N33" s="58" t="str">
        <f t="shared" si="18"/>
        <v/>
      </c>
      <c r="O33" s="58" t="str">
        <f t="shared" si="18"/>
        <v/>
      </c>
      <c r="P33" s="58" t="str">
        <f t="shared" si="18"/>
        <v/>
      </c>
      <c r="Q33" s="58" t="str">
        <f t="shared" si="18"/>
        <v/>
      </c>
      <c r="R33" s="58" t="str">
        <f t="shared" si="19"/>
        <v/>
      </c>
      <c r="S33" s="58" t="str">
        <f t="shared" si="19"/>
        <v/>
      </c>
      <c r="T33" s="58" t="str">
        <f t="shared" si="19"/>
        <v/>
      </c>
      <c r="U33" s="58" t="str">
        <f t="shared" si="19"/>
        <v/>
      </c>
      <c r="V33" s="58" t="str">
        <f t="shared" si="19"/>
        <v/>
      </c>
      <c r="W33" s="58" t="str">
        <f t="shared" si="19"/>
        <v/>
      </c>
      <c r="X33" s="58" t="str">
        <f t="shared" si="19"/>
        <v/>
      </c>
      <c r="Y33" s="58" t="str">
        <f t="shared" si="19"/>
        <v/>
      </c>
      <c r="Z33" s="58" t="str">
        <f t="shared" si="19"/>
        <v xml:space="preserve"> </v>
      </c>
      <c r="AA33" s="58" t="str">
        <f t="shared" si="19"/>
        <v xml:space="preserve"> </v>
      </c>
    </row>
  </sheetData>
  <mergeCells count="2">
    <mergeCell ref="G1:P1"/>
    <mergeCell ref="Q1:AA1"/>
  </mergeCells>
  <conditionalFormatting sqref="D7:D33">
    <cfRule type="dataBar" priority="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{AAF0E371-F869-D949-96C0-B71F0F2E3D7C}</x14:id>
        </ext>
      </extLst>
    </cfRule>
  </conditionalFormatting>
  <conditionalFormatting sqref="G7:AA33">
    <cfRule type="expression" dxfId="0" priority="2" stopIfTrue="1">
      <formula>G7=" 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F0E371-F869-D949-96C0-B71F0F2E3D7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theme="0"/>
              <x14:negativeBorderColor theme="0"/>
              <x14:axisColor rgb="FF000000"/>
            </x14:dataBar>
          </x14:cfRule>
          <xm:sqref>D7:D33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B8CE-357E-B842-A609-5B206B536F14}">
  <dimension ref="A1"/>
  <sheetViews>
    <sheetView zoomScaleNormal="100" workbookViewId="0">
      <selection activeCell="F24" sqref="F24"/>
    </sheetView>
  </sheetViews>
  <sheetFormatPr baseColWidth="10" defaultRowHeight="16"/>
  <sheetData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E970-CFF4-9544-9043-6D1894A8F104}">
  <dimension ref="F6:L57"/>
  <sheetViews>
    <sheetView topLeftCell="A57" zoomScale="122" workbookViewId="0">
      <selection activeCell="F24" sqref="F24"/>
    </sheetView>
  </sheetViews>
  <sheetFormatPr baseColWidth="10" defaultRowHeight="16"/>
  <cols>
    <col min="6" max="6" width="30.7109375" customWidth="1"/>
    <col min="8" max="8" width="40.7109375" customWidth="1"/>
    <col min="10" max="10" width="40.7109375" customWidth="1"/>
  </cols>
  <sheetData>
    <row r="6" spans="6:12">
      <c r="F6" s="35"/>
      <c r="H6" s="35"/>
      <c r="L6" s="35"/>
    </row>
    <row r="7" spans="6:12">
      <c r="F7" s="35"/>
      <c r="H7" s="35"/>
      <c r="L7" s="35"/>
    </row>
    <row r="8" spans="6:12">
      <c r="F8" s="35"/>
      <c r="H8" s="35"/>
    </row>
    <row r="9" spans="6:12">
      <c r="F9" s="35"/>
      <c r="H9" s="35"/>
    </row>
    <row r="10" spans="6:12">
      <c r="F10" s="35"/>
      <c r="H10" s="35"/>
    </row>
    <row r="11" spans="6:12">
      <c r="H11" s="35"/>
    </row>
    <row r="12" spans="6:12">
      <c r="H12" s="35"/>
    </row>
    <row r="13" spans="6:12">
      <c r="H13" s="35"/>
    </row>
    <row r="28" spans="8:12">
      <c r="L28" s="35"/>
    </row>
    <row r="29" spans="8:12">
      <c r="L29" s="35"/>
    </row>
    <row r="30" spans="8:12">
      <c r="H30" s="35"/>
      <c r="J30" s="35"/>
      <c r="L30" s="35"/>
    </row>
    <row r="31" spans="8:12">
      <c r="H31" s="35"/>
      <c r="J31" s="35"/>
    </row>
    <row r="32" spans="8:12">
      <c r="H32" s="35"/>
      <c r="J32" s="35"/>
    </row>
    <row r="33" spans="6:12">
      <c r="H33" s="35"/>
      <c r="J33" s="35"/>
    </row>
    <row r="34" spans="6:12">
      <c r="H34" s="35"/>
      <c r="J34" s="35"/>
    </row>
    <row r="35" spans="6:12">
      <c r="J35" s="35"/>
    </row>
    <row r="37" spans="6:12">
      <c r="H37" s="35"/>
    </row>
    <row r="38" spans="6:12">
      <c r="H38" s="35"/>
      <c r="J38" s="35"/>
    </row>
    <row r="39" spans="6:12">
      <c r="H39" s="35"/>
      <c r="J39" s="35"/>
    </row>
    <row r="40" spans="6:12">
      <c r="H40" s="35"/>
      <c r="J40" s="35"/>
    </row>
    <row r="41" spans="6:12">
      <c r="H41" s="35"/>
      <c r="J41" s="35"/>
    </row>
    <row r="42" spans="6:12">
      <c r="J42" s="35"/>
    </row>
    <row r="43" spans="6:12">
      <c r="J43" s="35"/>
    </row>
    <row r="47" spans="6:12">
      <c r="F47" s="35"/>
    </row>
    <row r="48" spans="6:12">
      <c r="F48" s="35"/>
      <c r="L48" s="35"/>
    </row>
    <row r="49" spans="6:12">
      <c r="F49" s="35"/>
      <c r="L49" s="35"/>
    </row>
    <row r="50" spans="6:12">
      <c r="F50" s="35"/>
      <c r="L50" s="35"/>
    </row>
    <row r="51" spans="6:12">
      <c r="F51" s="35"/>
      <c r="L51" s="35"/>
    </row>
    <row r="52" spans="6:12">
      <c r="F52" s="35"/>
      <c r="L52" s="35"/>
    </row>
    <row r="53" spans="6:12">
      <c r="F53" s="35"/>
      <c r="L53" s="35"/>
    </row>
    <row r="54" spans="6:12">
      <c r="F54" s="35"/>
      <c r="L54" s="35"/>
    </row>
    <row r="55" spans="6:12">
      <c r="L55" s="35"/>
    </row>
    <row r="56" spans="6:12">
      <c r="L56" s="35"/>
    </row>
    <row r="57" spans="6:12">
      <c r="L57" s="3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Milestones</vt:lpstr>
      <vt:lpstr>OverallStructure</vt:lpstr>
      <vt:lpstr>ClassDIagram</vt:lpstr>
    </vt:vector>
  </TitlesOfParts>
  <Manager/>
  <Company>KWE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Ngai</dc:creator>
  <cp:keywords/>
  <dc:description/>
  <cp:lastModifiedBy>d ngai</cp:lastModifiedBy>
  <cp:revision/>
  <dcterms:created xsi:type="dcterms:W3CDTF">2023-10-25T06:58:27Z</dcterms:created>
  <dcterms:modified xsi:type="dcterms:W3CDTF">2024-03-11T03:04:00Z</dcterms:modified>
  <cp:category/>
  <cp:contentStatus/>
</cp:coreProperties>
</file>